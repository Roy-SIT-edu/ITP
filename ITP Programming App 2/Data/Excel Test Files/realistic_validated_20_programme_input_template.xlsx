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424c6ce0aeb4de5" /></Relationships>
</file>

<file path=xl/workbook.xml><?xml version="1.0" encoding="utf-8"?>
<x:workbook xmlns:x="http://schemas.openxmlformats.org/spreadsheetml/2006/main">
  <x:sheets>
    <x:sheet xmlns:r="http://schemas.openxmlformats.org/officeDocument/2006/relationships" name="Input_Template" sheetId="1" r:id="R991d815bfdc44580"/>
    <x:sheet xmlns:r="http://schemas.openxmlformats.org/officeDocument/2006/relationships" name="Remarks_(optional)" sheetId="2" r:id="Rabdfcfe70cc94136"/>
    <x:sheet xmlns:r="http://schemas.openxmlformats.org/officeDocument/2006/relationships" name="Programme_Summary" sheetId="3" r:id="Reb6c71b4709d48b2"/>
    <x:sheet xmlns:r="http://schemas.openxmlformats.org/officeDocument/2006/relationships" name="Source_Audit" sheetId="4" r:id="R19ca690e65fb4697"/>
    <x:sheet xmlns:r="http://schemas.openxmlformats.org/officeDocument/2006/relationships" name="Quality_Check" sheetId="5" r:id="R71e80122637c42d2"/>
    <x:sheet xmlns:r="http://schemas.openxmlformats.org/officeDocument/2006/relationships" name="README" sheetId="6" r:id="R0f18d18ffa2a486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15">
    <x:font>
      <x:sz val="11"/>
      <x:name val="Carlito"/>
    </x:font>
    <x:font>
      <x:sz val="10"/>
      <x:color rgb="FF1F1F1F"/>
      <x:name val="Calibri"/>
    </x:font>
    <x:font>
      <x:b/>
      <x:sz val="10"/>
      <x:color rgb="FF000000"/>
      <x:name val="Calibri"/>
    </x:font>
    <x:font>
      <x:b/>
      <x:sz val="10"/>
      <x:color rgb="FF1F4E78"/>
      <x:name val="Calibri"/>
    </x:font>
    <x:font>
      <x:b/>
      <x:sz val="10"/>
      <x:color rgb="FF1F1F1F"/>
      <x:name val="Calibri"/>
    </x:font>
    <x:font>
      <x:b/>
      <x:sz val="10"/>
      <x:color rgb="FF7F4125"/>
      <x:name val="Calibri"/>
    </x:font>
    <x:font>
      <x:b/>
      <x:sz val="10"/>
      <x:color rgb="FF4C2A69"/>
      <x:name val="Calibri"/>
    </x:font>
    <x:font>
      <x:b/>
      <x:sz val="15"/>
      <x:color rgb="FFFFFFFF"/>
      <x:name val="Calibri"/>
    </x:font>
    <x:font>
      <x:b/>
      <x:sz val="10"/>
      <x:color rgb="FFFFFFFF"/>
      <x:name val="Calibri"/>
    </x:font>
    <x:font>
      <x:b/>
      <x:sz val="10"/>
      <x:color rgb="FF17365D"/>
      <x:name val="Calibri"/>
    </x:font>
    <x:font>
      <x:sz val="11"/>
      <x:color rgb="FF274E13"/>
      <x:name val="Carlito"/>
    </x:font>
    <x:font>
      <x:b/>
      <x:sz val="11"/>
      <x:color rgb="FF7F6000"/>
      <x:name val="Carlito"/>
    </x:font>
    <x:font>
      <x:b/>
      <x:sz val="12"/>
      <x:color rgb="FFFFFFFF"/>
      <x:name val="Carlito"/>
    </x:font>
    <x:font>
      <x:sz val="11"/>
      <x:color rgb="FF17365D"/>
      <x:name val="Carlito"/>
    </x:font>
    <x:font>
      <x:b/>
      <x:sz val="11"/>
      <x:color rgb="FF843C0C"/>
      <x:name val="Carlito"/>
    </x:font>
  </x:fonts>
  <x:fills count="15">
    <x:fill>
      <x:patternFill patternType="none"/>
    </x:fill>
    <x:fill>
      <x:patternFill patternType="gray125"/>
    </x:fill>
    <x:fill>
      <x:patternFill patternType="solid">
        <x:fgColor rgb="FFFFF200"/>
      </x:patternFill>
    </x:fill>
    <x:fill>
      <x:patternFill patternType="solid">
        <x:fgColor rgb="FFDDEBF7"/>
      </x:patternFill>
    </x:fill>
    <x:fill>
      <x:patternFill patternType="solid">
        <x:fgColor rgb="FFE2F0D9"/>
      </x:patternFill>
    </x:fill>
    <x:fill>
      <x:patternFill patternType="solid">
        <x:fgColor rgb="FFFCE4D6"/>
      </x:patternFill>
    </x:fill>
    <x:fill>
      <x:patternFill patternType="solid">
        <x:fgColor rgb="FFE4DFEC"/>
      </x:patternFill>
    </x:fill>
    <x:fill>
      <x:patternFill patternType="solid">
        <x:fgColor rgb="FFFFF2CC"/>
      </x:patternFill>
    </x:fill>
    <x:fill>
      <x:patternFill patternType="solid">
        <x:fgColor rgb="FFF8CBAD"/>
      </x:patternFill>
    </x:fill>
    <x:fill>
      <x:patternFill patternType="solid">
        <x:fgColor rgb="FF2F75B5"/>
      </x:patternFill>
    </x:fill>
    <x:fill>
      <x:patternFill patternType="solid">
        <x:fgColor rgb="FF4472C4"/>
      </x:patternFill>
    </x:fill>
    <x:fill>
      <x:patternFill patternType="solid">
        <x:fgColor rgb="FF5B4B8A"/>
      </x:patternFill>
    </x:fill>
    <x:fill>
      <x:patternFill patternType="solid">
        <x:fgColor rgb="FF0F6B78"/>
      </x:patternFill>
    </x:fill>
    <x:fill>
      <x:patternFill patternType="solid">
        <x:fgColor rgb="FFD9EAF7"/>
      </x:patternFill>
    </x:fill>
    <x:fill>
      <x:patternFill patternType="solid">
        <x:fgColor rgb="FF2F6B3C"/>
      </x:patternFill>
    </x:fill>
  </x:fills>
  <x:borders count="12">
    <x:border/>
    <x:border>
      <x:left style="thin">
        <x:color rgb="FF808080"/>
      </x:left>
      <x:right style="thin">
        <x:color rgb="FF808080"/>
      </x:right>
      <x:top style="thin">
        <x:color rgb="FF808080"/>
      </x:top>
      <x:bottom style="thin">
        <x:color rgb="FF808080"/>
      </x:bottom>
    </x:border>
    <x:border>
      <x:left style="thin">
        <x:color rgb="FF808080"/>
      </x:left>
      <x:right style="thin">
        <x:color rgb="FFA6A6A6"/>
      </x:right>
      <x:top style="medium">
        <x:color rgb="FF5B5B5B"/>
      </x:top>
      <x:bottom style="thin">
        <x:color rgb="FFA6A6A6"/>
      </x:bottom>
    </x:border>
    <x:border>
      <x:left style="thin">
        <x:color rgb="FFA6A6A6"/>
      </x:left>
      <x:right style="thin">
        <x:color rgb="FFA6A6A6"/>
      </x:right>
      <x:top style="medium">
        <x:color rgb="FF5B5B5B"/>
      </x:top>
      <x:bottom style="thin">
        <x:color rgb="FFA6A6A6"/>
      </x:bottom>
    </x:border>
    <x:border>
      <x:left style="thin">
        <x:color rgb="FFA6A6A6"/>
      </x:left>
      <x:right style="thin">
        <x:color rgb="FF808080"/>
      </x:right>
      <x:top style="medium">
        <x:color rgb="FF5B5B5B"/>
      </x:top>
      <x:bottom style="thin">
        <x:color rgb="FFA6A6A6"/>
      </x:bottom>
    </x:border>
    <x:border>
      <x:left style="thin">
        <x:color rgb="FF808080"/>
      </x:left>
      <x:right style="thin">
        <x:color rgb="FFA6A6A6"/>
      </x:right>
      <x:top style="thin">
        <x:color rgb="FFA6A6A6"/>
      </x:top>
      <x:bottom style="thin">
        <x:color rgb="FF808080"/>
      </x:bottom>
    </x:border>
    <x:border>
      <x:left style="thin">
        <x:color rgb="FFA6A6A6"/>
      </x:left>
      <x:right style="thin">
        <x:color rgb="FFA6A6A6"/>
      </x:right>
      <x:top style="thin">
        <x:color rgb="FFA6A6A6"/>
      </x:top>
      <x:bottom style="thin">
        <x:color rgb="FF808080"/>
      </x:bottom>
    </x:border>
    <x:border>
      <x:left style="thin">
        <x:color rgb="FFA6A6A6"/>
      </x:left>
      <x:right style="thin">
        <x:color rgb="FF808080"/>
      </x:right>
      <x:top style="thin">
        <x:color rgb="FFA6A6A6"/>
      </x:top>
      <x:bottom style="thin">
        <x:color rgb="FF808080"/>
      </x:bottom>
    </x:border>
    <x:border>
      <x:left style="thin">
        <x:color rgb="FF808080"/>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808080"/>
      </x:right>
      <x:top style="thin">
        <x:color rgb="FFA6A6A6"/>
      </x:top>
      <x:bottom style="thin">
        <x:color rgb="FFA6A6A6"/>
      </x:bottom>
    </x:border>
    <x:border>
      <x:left style="thin">
        <x:color rgb="FFB7A36A"/>
      </x:left>
      <x:right style="thin">
        <x:color rgb="FFB7A36A"/>
      </x:right>
      <x:top style="thin">
        <x:color rgb="FFB7A36A"/>
      </x:top>
      <x:bottom style="thin">
        <x:color rgb="FFB7A36A"/>
      </x:bottom>
    </x:border>
  </x:borders>
  <x:cellStyleXfs count="1">
    <x:xf numFmtId="0" fontId="0" fillId="0" borderId="0"/>
  </x:cellStyleXfs>
  <x:cellXfs count="20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1" xfId="0" applyNumberFormat="1" applyFont="1" applyFill="1" applyBorder="1" applyAlignment="1">
      <x:alignment vertical="center"/>
    </x:xf>
    <x:xf numFmtId="0" fontId="2" fillId="2" borderId="1" xfId="0" applyNumberFormat="1" applyFont="1" applyFill="1" applyBorder="1" applyAlignment="1">
      <x:alignment vertical="center"/>
    </x:xf>
    <x:xf numFmtId="0" fontId="2" fillId="2" borderId="1" xfId="0" applyNumberFormat="1" applyFont="1" applyFill="1" applyBorder="1" applyAlignment="1">
      <x:alignment vertical="center" wrapText="1"/>
    </x:xf>
    <x:xf numFmtId="0" fontId="2" fillId="2" borderId="1" xfId="0" applyNumberFormat="1" applyFont="1" applyFill="1" applyBorder="1" applyAlignment="1">
      <x:alignment horizontal="center" vertical="center" wrapText="1"/>
    </x:xf>
    <x:xf numFmtId="0" fontId="1" fillId="3" borderId="1" xfId="0" applyNumberFormat="1" applyFont="1" applyFill="1" applyBorder="1" applyAlignment="1">
      <x:alignment vertical="center"/>
    </x:xf>
    <x:xf numFmtId="0" fontId="1" fillId="3" borderId="2" xfId="0" applyNumberFormat="1" applyFont="1" applyFill="1" applyBorder="1" applyAlignment="1">
      <x:alignment vertical="center"/>
    </x:xf>
    <x:xf numFmtId="0" fontId="1" fillId="3" borderId="3" xfId="0" applyNumberFormat="1" applyFont="1" applyFill="1" applyBorder="1" applyAlignment="1">
      <x:alignment vertical="center"/>
    </x:xf>
    <x:xf numFmtId="0" fontId="1" fillId="3" borderId="4" xfId="0" applyNumberFormat="1" applyFont="1" applyFill="1" applyBorder="1" applyAlignment="1">
      <x:alignment vertical="center"/>
    </x:xf>
    <x:xf numFmtId="0" fontId="1" fillId="3" borderId="5" xfId="0" applyNumberFormat="1" applyFont="1" applyFill="1" applyBorder="1" applyAlignment="1">
      <x:alignment vertical="center"/>
    </x:xf>
    <x:xf numFmtId="0" fontId="1" fillId="3" borderId="6" xfId="0" applyNumberFormat="1" applyFont="1" applyFill="1" applyBorder="1" applyAlignment="1">
      <x:alignment vertical="center"/>
    </x:xf>
    <x:xf numFmtId="0" fontId="1" fillId="3" borderId="7" xfId="0" applyNumberFormat="1" applyFont="1" applyFill="1" applyBorder="1" applyAlignment="1">
      <x:alignment vertical="center"/>
    </x:xf>
    <x:xf numFmtId="0" fontId="1" fillId="4" borderId="1" xfId="0" applyNumberFormat="1" applyFont="1" applyFill="1" applyBorder="1" applyAlignment="1">
      <x:alignment vertical="center"/>
    </x:xf>
    <x:xf numFmtId="0" fontId="1" fillId="4" borderId="2" xfId="0" applyNumberFormat="1" applyFont="1" applyFill="1" applyBorder="1" applyAlignment="1">
      <x:alignment vertical="center"/>
    </x:xf>
    <x:xf numFmtId="0" fontId="1" fillId="4" borderId="3" xfId="0" applyNumberFormat="1" applyFont="1" applyFill="1" applyBorder="1" applyAlignment="1">
      <x:alignment vertical="center"/>
    </x:xf>
    <x:xf numFmtId="0" fontId="1" fillId="4" borderId="4" xfId="0" applyNumberFormat="1" applyFont="1" applyFill="1" applyBorder="1" applyAlignment="1">
      <x:alignment vertical="center"/>
    </x:xf>
    <x:xf numFmtId="0" fontId="1" fillId="4" borderId="5" xfId="0" applyNumberFormat="1" applyFont="1" applyFill="1" applyBorder="1" applyAlignment="1">
      <x:alignment vertical="center"/>
    </x:xf>
    <x:xf numFmtId="0" fontId="1" fillId="4" borderId="6" xfId="0" applyNumberFormat="1" applyFont="1" applyFill="1" applyBorder="1" applyAlignment="1">
      <x:alignment vertical="center"/>
    </x:xf>
    <x:xf numFmtId="0" fontId="1" fillId="4" borderId="7" xfId="0" applyNumberFormat="1" applyFont="1" applyFill="1" applyBorder="1" applyAlignment="1">
      <x:alignment vertical="center"/>
    </x:xf>
    <x:xf numFmtId="0" fontId="1" fillId="5" borderId="1" xfId="0" applyNumberFormat="1" applyFont="1" applyFill="1" applyBorder="1" applyAlignment="1">
      <x:alignment vertical="center"/>
    </x:xf>
    <x:xf numFmtId="0" fontId="1" fillId="5" borderId="2" xfId="0" applyNumberFormat="1" applyFont="1" applyFill="1" applyBorder="1" applyAlignment="1">
      <x:alignment vertical="center"/>
    </x:xf>
    <x:xf numFmtId="0" fontId="1" fillId="5" borderId="3" xfId="0" applyNumberFormat="1" applyFont="1" applyFill="1" applyBorder="1" applyAlignment="1">
      <x:alignment vertical="center"/>
    </x:xf>
    <x:xf numFmtId="0" fontId="1" fillId="5" borderId="4" xfId="0" applyNumberFormat="1" applyFont="1" applyFill="1" applyBorder="1" applyAlignment="1">
      <x:alignment vertical="center"/>
    </x:xf>
    <x:xf numFmtId="0" fontId="1" fillId="5" borderId="8" xfId="0" applyNumberFormat="1" applyFont="1" applyFill="1" applyBorder="1" applyAlignment="1">
      <x:alignment vertical="center"/>
    </x:xf>
    <x:xf numFmtId="0" fontId="1" fillId="5" borderId="9" xfId="0" applyNumberFormat="1" applyFont="1" applyFill="1" applyBorder="1" applyAlignment="1">
      <x:alignment vertical="center"/>
    </x:xf>
    <x:xf numFmtId="0" fontId="1" fillId="5" borderId="10" xfId="0" applyNumberFormat="1" applyFont="1" applyFill="1" applyBorder="1" applyAlignment="1">
      <x:alignment vertical="center"/>
    </x:xf>
    <x:xf numFmtId="0" fontId="1" fillId="5" borderId="5" xfId="0" applyNumberFormat="1" applyFont="1" applyFill="1" applyBorder="1" applyAlignment="1">
      <x:alignment vertical="center"/>
    </x:xf>
    <x:xf numFmtId="0" fontId="1" fillId="5" borderId="6" xfId="0" applyNumberFormat="1" applyFont="1" applyFill="1" applyBorder="1" applyAlignment="1">
      <x:alignment vertical="center"/>
    </x:xf>
    <x:xf numFmtId="0" fontId="1" fillId="5" borderId="7" xfId="0" applyNumberFormat="1" applyFont="1" applyFill="1" applyBorder="1" applyAlignment="1">
      <x:alignment vertical="center"/>
    </x:xf>
    <x:xf numFmtId="0" fontId="1" fillId="6" borderId="1" xfId="0" applyNumberFormat="1" applyFont="1" applyFill="1" applyBorder="1" applyAlignment="1">
      <x:alignment vertical="center"/>
    </x:xf>
    <x:xf numFmtId="0" fontId="1" fillId="6" borderId="2" xfId="0" applyNumberFormat="1" applyFont="1" applyFill="1" applyBorder="1" applyAlignment="1">
      <x:alignment vertical="center"/>
    </x:xf>
    <x:xf numFmtId="0" fontId="1" fillId="6" borderId="3" xfId="0" applyNumberFormat="1" applyFont="1" applyFill="1" applyBorder="1" applyAlignment="1">
      <x:alignment vertical="center"/>
    </x:xf>
    <x:xf numFmtId="0" fontId="1" fillId="6" borderId="4" xfId="0" applyNumberFormat="1" applyFont="1" applyFill="1" applyBorder="1" applyAlignment="1">
      <x:alignment vertical="center"/>
    </x:xf>
    <x:xf numFmtId="0" fontId="1" fillId="6" borderId="5" xfId="0" applyNumberFormat="1" applyFont="1" applyFill="1" applyBorder="1" applyAlignment="1">
      <x:alignment vertical="center"/>
    </x:xf>
    <x:xf numFmtId="0" fontId="1" fillId="6" borderId="6" xfId="0" applyNumberFormat="1" applyFont="1" applyFill="1" applyBorder="1" applyAlignment="1">
      <x:alignment vertical="center"/>
    </x:xf>
    <x:xf numFmtId="0" fontId="1" fillId="6" borderId="7" xfId="0" applyNumberFormat="1" applyFont="1" applyFill="1" applyBorder="1" applyAlignment="1">
      <x:alignment vertical="center"/>
    </x:xf>
    <x:xf numFmtId="0" fontId="1" fillId="7" borderId="1" xfId="0" applyNumberFormat="1" applyFont="1" applyFill="1" applyBorder="1" applyAlignment="1">
      <x:alignment vertical="center"/>
    </x:xf>
    <x:xf numFmtId="0" fontId="1" fillId="7" borderId="2" xfId="0" applyNumberFormat="1" applyFont="1" applyFill="1" applyBorder="1" applyAlignment="1">
      <x:alignment vertical="center"/>
    </x:xf>
    <x:xf numFmtId="0" fontId="1" fillId="7" borderId="3" xfId="0" applyNumberFormat="1" applyFont="1" applyFill="1" applyBorder="1" applyAlignment="1">
      <x:alignment vertical="center"/>
    </x:xf>
    <x:xf numFmtId="0" fontId="1" fillId="7" borderId="4" xfId="0" applyNumberFormat="1" applyFont="1" applyFill="1" applyBorder="1" applyAlignment="1">
      <x:alignment vertical="center"/>
    </x:xf>
    <x:xf numFmtId="0" fontId="1" fillId="7" borderId="5" xfId="0" applyNumberFormat="1" applyFont="1" applyFill="1" applyBorder="1" applyAlignment="1">
      <x:alignment vertical="center"/>
    </x:xf>
    <x:xf numFmtId="0" fontId="1" fillId="7" borderId="6" xfId="0" applyNumberFormat="1" applyFont="1" applyFill="1" applyBorder="1" applyAlignment="1">
      <x:alignment vertical="center"/>
    </x:xf>
    <x:xf numFmtId="0" fontId="1" fillId="7" borderId="7" xfId="0" applyNumberFormat="1" applyFont="1" applyFill="1" applyBorder="1" applyAlignment="1">
      <x:alignment vertical="center"/>
    </x:xf>
    <x:xf numFmtId="0" fontId="1" fillId="3" borderId="8" xfId="0" applyNumberFormat="1" applyFont="1" applyFill="1" applyBorder="1" applyAlignment="1">
      <x:alignment vertical="center"/>
    </x:xf>
    <x:xf numFmtId="0" fontId="1" fillId="3" borderId="9" xfId="0" applyNumberFormat="1" applyFont="1" applyFill="1" applyBorder="1" applyAlignment="1">
      <x:alignment vertical="center"/>
    </x:xf>
    <x:xf numFmtId="0" fontId="1" fillId="3" borderId="10" xfId="0" applyNumberFormat="1" applyFont="1" applyFill="1" applyBorder="1" applyAlignment="1">
      <x:alignment vertical="center"/>
    </x:xf>
    <x:xf numFmtId="0" fontId="1" fillId="4" borderId="8" xfId="0" applyNumberFormat="1" applyFont="1" applyFill="1" applyBorder="1" applyAlignment="1">
      <x:alignment vertical="center"/>
    </x:xf>
    <x:xf numFmtId="0" fontId="1" fillId="4" borderId="9" xfId="0" applyNumberFormat="1" applyFont="1" applyFill="1" applyBorder="1" applyAlignment="1">
      <x:alignment vertical="center"/>
    </x:xf>
    <x:xf numFmtId="0" fontId="1" fillId="4" borderId="10" xfId="0" applyNumberFormat="1" applyFont="1" applyFill="1" applyBorder="1" applyAlignment="1">
      <x:alignment vertical="center"/>
    </x:xf>
    <x:xf numFmtId="0" fontId="1" fillId="7" borderId="8" xfId="0" applyNumberFormat="1" applyFont="1" applyFill="1" applyBorder="1" applyAlignment="1">
      <x:alignment vertical="center"/>
    </x:xf>
    <x:xf numFmtId="0" fontId="1" fillId="7" borderId="9" xfId="0" applyNumberFormat="1" applyFont="1" applyFill="1" applyBorder="1" applyAlignment="1">
      <x:alignment vertical="center"/>
    </x:xf>
    <x:xf numFmtId="0" fontId="1" fillId="7" borderId="10" xfId="0" applyNumberFormat="1" applyFont="1" applyFill="1" applyBorder="1" applyAlignment="1">
      <x:alignment vertical="center"/>
    </x:xf>
    <x:xf numFmtId="0" fontId="3" fillId="3" borderId="2" xfId="0" applyNumberFormat="1" applyFont="1" applyFill="1" applyBorder="1" applyAlignment="1">
      <x:alignment vertical="center"/>
    </x:xf>
    <x:xf numFmtId="0" fontId="3" fillId="3" borderId="5" xfId="0" applyNumberFormat="1" applyFont="1" applyFill="1" applyBorder="1" applyAlignment="1">
      <x:alignment vertical="center"/>
    </x:xf>
    <x:xf numFmtId="0" fontId="3" fillId="4" borderId="2" xfId="0" applyNumberFormat="1" applyFont="1" applyFill="1" applyBorder="1" applyAlignment="1">
      <x:alignment vertical="center"/>
    </x:xf>
    <x:xf numFmtId="0" fontId="3" fillId="4" borderId="5" xfId="0" applyNumberFormat="1" applyFont="1" applyFill="1" applyBorder="1" applyAlignment="1">
      <x:alignment vertical="center"/>
    </x:xf>
    <x:xf numFmtId="0" fontId="3" fillId="5" borderId="2" xfId="0" applyNumberFormat="1" applyFont="1" applyFill="1" applyBorder="1" applyAlignment="1">
      <x:alignment vertical="center"/>
    </x:xf>
    <x:xf numFmtId="0" fontId="3" fillId="5" borderId="8" xfId="0" applyNumberFormat="1" applyFont="1" applyFill="1" applyBorder="1" applyAlignment="1">
      <x:alignment vertical="center"/>
    </x:xf>
    <x:xf numFmtId="0" fontId="3" fillId="5" borderId="5" xfId="0" applyNumberFormat="1" applyFont="1" applyFill="1" applyBorder="1" applyAlignment="1">
      <x:alignment vertical="center"/>
    </x:xf>
    <x:xf numFmtId="0" fontId="3" fillId="6" borderId="2" xfId="0" applyNumberFormat="1" applyFont="1" applyFill="1" applyBorder="1" applyAlignment="1">
      <x:alignment vertical="center"/>
    </x:xf>
    <x:xf numFmtId="0" fontId="3" fillId="6" borderId="5" xfId="0" applyNumberFormat="1" applyFont="1" applyFill="1" applyBorder="1" applyAlignment="1">
      <x:alignment vertical="center"/>
    </x:xf>
    <x:xf numFmtId="0" fontId="3" fillId="7" borderId="2" xfId="0" applyNumberFormat="1" applyFont="1" applyFill="1" applyBorder="1" applyAlignment="1">
      <x:alignment vertical="center"/>
    </x:xf>
    <x:xf numFmtId="0" fontId="3" fillId="7" borderId="5" xfId="0" applyNumberFormat="1" applyFont="1" applyFill="1" applyBorder="1" applyAlignment="1">
      <x:alignment vertical="center"/>
    </x:xf>
    <x:xf numFmtId="0" fontId="3" fillId="3" borderId="8" xfId="0" applyNumberFormat="1" applyFont="1" applyFill="1" applyBorder="1" applyAlignment="1">
      <x:alignment vertical="center"/>
    </x:xf>
    <x:xf numFmtId="0" fontId="3" fillId="4" borderId="8" xfId="0" applyNumberFormat="1" applyFont="1" applyFill="1" applyBorder="1" applyAlignment="1">
      <x:alignment vertical="center"/>
    </x:xf>
    <x:xf numFmtId="0" fontId="3" fillId="7" borderId="8" xfId="0" applyNumberFormat="1" applyFont="1" applyFill="1" applyBorder="1" applyAlignment="1">
      <x:alignment vertical="center"/>
    </x:xf>
    <x:xf numFmtId="0" fontId="4" fillId="3" borderId="3" xfId="0" applyNumberFormat="1" applyFont="1" applyFill="1" applyBorder="1" applyAlignment="1">
      <x:alignment vertical="center"/>
    </x:xf>
    <x:xf numFmtId="0" fontId="4" fillId="3" borderId="6" xfId="0" applyNumberFormat="1" applyFont="1" applyFill="1" applyBorder="1" applyAlignment="1">
      <x:alignment vertical="center"/>
    </x:xf>
    <x:xf numFmtId="0" fontId="4" fillId="4" borderId="3" xfId="0" applyNumberFormat="1" applyFont="1" applyFill="1" applyBorder="1" applyAlignment="1">
      <x:alignment vertical="center"/>
    </x:xf>
    <x:xf numFmtId="0" fontId="4" fillId="4" borderId="6" xfId="0" applyNumberFormat="1" applyFont="1" applyFill="1" applyBorder="1" applyAlignment="1">
      <x:alignment vertical="center"/>
    </x:xf>
    <x:xf numFmtId="0" fontId="4" fillId="5" borderId="3" xfId="0" applyNumberFormat="1" applyFont="1" applyFill="1" applyBorder="1" applyAlignment="1">
      <x:alignment vertical="center"/>
    </x:xf>
    <x:xf numFmtId="0" fontId="4" fillId="5" borderId="9" xfId="0" applyNumberFormat="1" applyFont="1" applyFill="1" applyBorder="1" applyAlignment="1">
      <x:alignment vertical="center"/>
    </x:xf>
    <x:xf numFmtId="0" fontId="4" fillId="5" borderId="6" xfId="0" applyNumberFormat="1" applyFont="1" applyFill="1" applyBorder="1" applyAlignment="1">
      <x:alignment vertical="center"/>
    </x:xf>
    <x:xf numFmtId="0" fontId="4" fillId="6" borderId="3" xfId="0" applyNumberFormat="1" applyFont="1" applyFill="1" applyBorder="1" applyAlignment="1">
      <x:alignment vertical="center"/>
    </x:xf>
    <x:xf numFmtId="0" fontId="4" fillId="6" borderId="6" xfId="0" applyNumberFormat="1" applyFont="1" applyFill="1" applyBorder="1" applyAlignment="1">
      <x:alignment vertical="center"/>
    </x:xf>
    <x:xf numFmtId="0" fontId="4" fillId="7" borderId="3" xfId="0" applyNumberFormat="1" applyFont="1" applyFill="1" applyBorder="1" applyAlignment="1">
      <x:alignment vertical="center"/>
    </x:xf>
    <x:xf numFmtId="0" fontId="4" fillId="7" borderId="6" xfId="0" applyNumberFormat="1" applyFont="1" applyFill="1" applyBorder="1" applyAlignment="1">
      <x:alignment vertical="center"/>
    </x:xf>
    <x:xf numFmtId="0" fontId="4" fillId="3" borderId="9" xfId="0" applyNumberFormat="1" applyFont="1" applyFill="1" applyBorder="1" applyAlignment="1">
      <x:alignment vertical="center"/>
    </x:xf>
    <x:xf numFmtId="0" fontId="4" fillId="4" borderId="9" xfId="0" applyNumberFormat="1" applyFont="1" applyFill="1" applyBorder="1" applyAlignment="1">
      <x:alignment vertical="center"/>
    </x:xf>
    <x:xf numFmtId="0" fontId="4" fillId="7" borderId="9" xfId="0" applyNumberFormat="1" applyFont="1" applyFill="1" applyBorder="1" applyAlignment="1">
      <x:alignment vertical="center"/>
    </x:xf>
    <x:xf numFmtId="0" fontId="1" fillId="8" borderId="3" xfId="0" applyNumberFormat="1" applyFont="1" applyFill="1" applyBorder="1" applyAlignment="1">
      <x:alignment vertical="center"/>
    </x:xf>
    <x:xf numFmtId="0" fontId="1" fillId="8" borderId="6" xfId="0" applyNumberFormat="1" applyFont="1" applyFill="1" applyBorder="1" applyAlignment="1">
      <x:alignment vertical="center"/>
    </x:xf>
    <x:xf numFmtId="0" fontId="1" fillId="8" borderId="9" xfId="0" applyNumberFormat="1" applyFont="1" applyFill="1" applyBorder="1" applyAlignment="1">
      <x:alignment vertical="center"/>
    </x:xf>
    <x:xf numFmtId="0" fontId="5" fillId="8" borderId="3" xfId="0" applyNumberFormat="1" applyFont="1" applyFill="1" applyBorder="1" applyAlignment="1">
      <x:alignment vertical="center"/>
    </x:xf>
    <x:xf numFmtId="0" fontId="5" fillId="8" borderId="6" xfId="0" applyNumberFormat="1" applyFont="1" applyFill="1" applyBorder="1" applyAlignment="1">
      <x:alignment vertical="center"/>
    </x:xf>
    <x:xf numFmtId="0" fontId="5" fillId="8" borderId="9" xfId="0" applyNumberFormat="1" applyFont="1" applyFill="1" applyBorder="1" applyAlignment="1">
      <x:alignment vertical="center"/>
    </x:xf>
    <x:xf numFmtId="0" fontId="1" fillId="3" borderId="3" xfId="0" applyNumberFormat="1" applyFont="1" applyFill="1" applyBorder="1" applyAlignment="1">
      <x:alignment vertical="center" wrapText="1"/>
    </x:xf>
    <x:xf numFmtId="0" fontId="1" fillId="3" borderId="6" xfId="0" applyNumberFormat="1" applyFont="1" applyFill="1" applyBorder="1" applyAlignment="1">
      <x:alignment vertical="center" wrapText="1"/>
    </x:xf>
    <x:xf numFmtId="0" fontId="1" fillId="4" borderId="3" xfId="0" applyNumberFormat="1" applyFont="1" applyFill="1" applyBorder="1" applyAlignment="1">
      <x:alignment vertical="center" wrapText="1"/>
    </x:xf>
    <x:xf numFmtId="0" fontId="1" fillId="4" borderId="6" xfId="0" applyNumberFormat="1" applyFont="1" applyFill="1" applyBorder="1" applyAlignment="1">
      <x:alignment vertical="center" wrapText="1"/>
    </x:xf>
    <x:xf numFmtId="0" fontId="1" fillId="5" borderId="3" xfId="0" applyNumberFormat="1" applyFont="1" applyFill="1" applyBorder="1" applyAlignment="1">
      <x:alignment vertical="center" wrapText="1"/>
    </x:xf>
    <x:xf numFmtId="0" fontId="1" fillId="5" borderId="9" xfId="0" applyNumberFormat="1" applyFont="1" applyFill="1" applyBorder="1" applyAlignment="1">
      <x:alignment vertical="center" wrapText="1"/>
    </x:xf>
    <x:xf numFmtId="0" fontId="1" fillId="5" borderId="6" xfId="0" applyNumberFormat="1" applyFont="1" applyFill="1" applyBorder="1" applyAlignment="1">
      <x:alignment vertical="center" wrapText="1"/>
    </x:xf>
    <x:xf numFmtId="0" fontId="1" fillId="6" borderId="3" xfId="0" applyNumberFormat="1" applyFont="1" applyFill="1" applyBorder="1" applyAlignment="1">
      <x:alignment vertical="center" wrapText="1"/>
    </x:xf>
    <x:xf numFmtId="0" fontId="1" fillId="6" borderId="6" xfId="0" applyNumberFormat="1" applyFont="1" applyFill="1" applyBorder="1" applyAlignment="1">
      <x:alignment vertical="center" wrapText="1"/>
    </x:xf>
    <x:xf numFmtId="0" fontId="1" fillId="7" borderId="3" xfId="0" applyNumberFormat="1" applyFont="1" applyFill="1" applyBorder="1" applyAlignment="1">
      <x:alignment vertical="center" wrapText="1"/>
    </x:xf>
    <x:xf numFmtId="0" fontId="1" fillId="7" borderId="6" xfId="0" applyNumberFormat="1" applyFont="1" applyFill="1" applyBorder="1" applyAlignment="1">
      <x:alignment vertical="center" wrapText="1"/>
    </x:xf>
    <x:xf numFmtId="0" fontId="1" fillId="3" borderId="9" xfId="0" applyNumberFormat="1" applyFont="1" applyFill="1" applyBorder="1" applyAlignment="1">
      <x:alignment vertical="center" wrapText="1"/>
    </x:xf>
    <x:xf numFmtId="0" fontId="1" fillId="4" borderId="9" xfId="0" applyNumberFormat="1" applyFont="1" applyFill="1" applyBorder="1" applyAlignment="1">
      <x:alignment vertical="center" wrapText="1"/>
    </x:xf>
    <x:xf numFmtId="0" fontId="1" fillId="7" borderId="9" xfId="0" applyNumberFormat="1" applyFont="1" applyFill="1" applyBorder="1" applyAlignment="1">
      <x:alignment vertical="center" wrapText="1"/>
    </x:xf>
    <x:xf numFmtId="0" fontId="6" fillId="6" borderId="3" xfId="0" applyNumberFormat="1" applyFont="1" applyFill="1" applyBorder="1" applyAlignment="1">
      <x:alignment vertical="center"/>
    </x:xf>
    <x:xf numFmtId="0" fontId="1" fillId="6" borderId="9" xfId="0" applyNumberFormat="1" applyFont="1" applyFill="1" applyBorder="1" applyAlignment="1">
      <x:alignment vertical="center"/>
    </x:xf>
    <x:xf numFmtId="0" fontId="6" fillId="6" borderId="9" xfId="0" applyNumberFormat="1" applyFont="1" applyFill="1" applyBorder="1" applyAlignment="1">
      <x:alignment vertical="center"/>
    </x:xf>
    <x:xf numFmtId="200" fontId="1" fillId="3" borderId="3" xfId="0" applyNumberFormat="1" applyFont="1" applyFill="1" applyBorder="1" applyAlignment="1">
      <x:alignment vertical="center"/>
    </x:xf>
    <x:xf numFmtId="200" fontId="1" fillId="3" borderId="6" xfId="0" applyNumberFormat="1" applyFont="1" applyFill="1" applyBorder="1" applyAlignment="1">
      <x:alignment vertical="center"/>
    </x:xf>
    <x:xf numFmtId="200" fontId="1" fillId="4" borderId="3" xfId="0" applyNumberFormat="1" applyFont="1" applyFill="1" applyBorder="1" applyAlignment="1">
      <x:alignment vertical="center"/>
    </x:xf>
    <x:xf numFmtId="200" fontId="1" fillId="4" borderId="6" xfId="0" applyNumberFormat="1" applyFont="1" applyFill="1" applyBorder="1" applyAlignment="1">
      <x:alignment vertical="center"/>
    </x:xf>
    <x:xf numFmtId="200" fontId="1" fillId="5" borderId="3" xfId="0" applyNumberFormat="1" applyFont="1" applyFill="1" applyBorder="1" applyAlignment="1">
      <x:alignment vertical="center"/>
    </x:xf>
    <x:xf numFmtId="200" fontId="1" fillId="5" borderId="9" xfId="0" applyNumberFormat="1" applyFont="1" applyFill="1" applyBorder="1" applyAlignment="1">
      <x:alignment vertical="center"/>
    </x:xf>
    <x:xf numFmtId="200" fontId="1" fillId="5" borderId="6" xfId="0" applyNumberFormat="1" applyFont="1" applyFill="1" applyBorder="1" applyAlignment="1">
      <x:alignment vertical="center"/>
    </x:xf>
    <x:xf numFmtId="200" fontId="1" fillId="6" borderId="3" xfId="0" applyNumberFormat="1" applyFont="1" applyFill="1" applyBorder="1" applyAlignment="1">
      <x:alignment vertical="center"/>
    </x:xf>
    <x:xf numFmtId="200" fontId="1" fillId="6" borderId="6" xfId="0" applyNumberFormat="1" applyFont="1" applyFill="1" applyBorder="1" applyAlignment="1">
      <x:alignment vertical="center"/>
    </x:xf>
    <x:xf numFmtId="200" fontId="1" fillId="7" borderId="3" xfId="0" applyNumberFormat="1" applyFont="1" applyFill="1" applyBorder="1" applyAlignment="1">
      <x:alignment vertical="center"/>
    </x:xf>
    <x:xf numFmtId="200" fontId="1" fillId="7" borderId="6" xfId="0" applyNumberFormat="1" applyFont="1" applyFill="1" applyBorder="1" applyAlignment="1">
      <x:alignment vertical="center"/>
    </x:xf>
    <x:xf numFmtId="200" fontId="1" fillId="3" borderId="9" xfId="0" applyNumberFormat="1" applyFont="1" applyFill="1" applyBorder="1" applyAlignment="1">
      <x:alignment vertical="center"/>
    </x:xf>
    <x:xf numFmtId="200" fontId="1" fillId="4" borderId="9" xfId="0" applyNumberFormat="1" applyFont="1" applyFill="1" applyBorder="1" applyAlignment="1">
      <x:alignment vertical="center"/>
    </x:xf>
    <x:xf numFmtId="200" fontId="1" fillId="7" borderId="9" xfId="0" applyNumberFormat="1" applyFont="1" applyFill="1" applyBorder="1" applyAlignment="1">
      <x:alignment vertical="center"/>
    </x:xf>
    <x:xf numFmtId="201" fontId="1" fillId="3" borderId="3" xfId="0" applyNumberFormat="1" applyFont="1" applyFill="1" applyBorder="1" applyAlignment="1">
      <x:alignment vertical="center"/>
    </x:xf>
    <x:xf numFmtId="201" fontId="1" fillId="3" borderId="6" xfId="0" applyNumberFormat="1" applyFont="1" applyFill="1" applyBorder="1" applyAlignment="1">
      <x:alignment vertical="center"/>
    </x:xf>
    <x:xf numFmtId="201" fontId="1" fillId="4" borderId="3" xfId="0" applyNumberFormat="1" applyFont="1" applyFill="1" applyBorder="1" applyAlignment="1">
      <x:alignment vertical="center"/>
    </x:xf>
    <x:xf numFmtId="201" fontId="1" fillId="4" borderId="6" xfId="0" applyNumberFormat="1" applyFont="1" applyFill="1" applyBorder="1" applyAlignment="1">
      <x:alignment vertical="center"/>
    </x:xf>
    <x:xf numFmtId="201" fontId="1" fillId="5" borderId="3" xfId="0" applyNumberFormat="1" applyFont="1" applyFill="1" applyBorder="1" applyAlignment="1">
      <x:alignment vertical="center"/>
    </x:xf>
    <x:xf numFmtId="201" fontId="1" fillId="5" borderId="9" xfId="0" applyNumberFormat="1" applyFont="1" applyFill="1" applyBorder="1" applyAlignment="1">
      <x:alignment vertical="center"/>
    </x:xf>
    <x:xf numFmtId="201" fontId="1" fillId="7" borderId="6" xfId="0" applyNumberFormat="1" applyFont="1" applyFill="1" applyBorder="1" applyAlignment="1">
      <x:alignment vertical="center"/>
    </x:xf>
    <x:xf numFmtId="201" fontId="1" fillId="6" borderId="3" xfId="0" applyNumberFormat="1" applyFont="1" applyFill="1" applyBorder="1" applyAlignment="1">
      <x:alignment vertical="center"/>
    </x:xf>
    <x:xf numFmtId="201" fontId="1" fillId="6" borderId="6" xfId="0" applyNumberFormat="1" applyFont="1" applyFill="1" applyBorder="1" applyAlignment="1">
      <x:alignment vertical="center"/>
    </x:xf>
    <x:xf numFmtId="201" fontId="1" fillId="7" borderId="3" xfId="0" applyNumberFormat="1" applyFont="1" applyFill="1" applyBorder="1" applyAlignment="1">
      <x:alignment vertical="center"/>
    </x:xf>
    <x:xf numFmtId="201" fontId="1" fillId="3" borderId="9" xfId="0" applyNumberFormat="1" applyFont="1" applyFill="1" applyBorder="1" applyAlignment="1">
      <x:alignment vertical="center"/>
    </x:xf>
    <x:xf numFmtId="201" fontId="1" fillId="5" borderId="6" xfId="0" applyNumberFormat="1" applyFont="1" applyFill="1" applyBorder="1" applyAlignment="1">
      <x:alignment vertical="center"/>
    </x:xf>
    <x:xf numFmtId="201" fontId="1" fillId="4" borderId="9" xfId="0" applyNumberFormat="1" applyFont="1" applyFill="1" applyBorder="1" applyAlignment="1">
      <x:alignment vertical="center"/>
    </x:xf>
    <x:xf numFmtId="201" fontId="1" fillId="7" borderId="9" xfId="0" applyNumberFormat="1" applyFont="1" applyFill="1" applyBorder="1" applyAlignment="1">
      <x:alignment vertical="center"/>
    </x:xf>
    <x:xf numFmtId="200" fontId="1" fillId="3" borderId="4" xfId="0" applyNumberFormat="1" applyFont="1" applyFill="1" applyBorder="1" applyAlignment="1">
      <x:alignment vertical="center"/>
    </x:xf>
    <x:xf numFmtId="200" fontId="1" fillId="3" borderId="7" xfId="0" applyNumberFormat="1" applyFont="1" applyFill="1" applyBorder="1" applyAlignment="1">
      <x:alignment vertical="center"/>
    </x:xf>
    <x:xf numFmtId="200" fontId="1" fillId="4" borderId="4" xfId="0" applyNumberFormat="1" applyFont="1" applyFill="1" applyBorder="1" applyAlignment="1">
      <x:alignment vertical="center"/>
    </x:xf>
    <x:xf numFmtId="200" fontId="1" fillId="4" borderId="7" xfId="0" applyNumberFormat="1" applyFont="1" applyFill="1" applyBorder="1" applyAlignment="1">
      <x:alignment vertical="center"/>
    </x:xf>
    <x:xf numFmtId="200" fontId="1" fillId="5" borderId="4" xfId="0" applyNumberFormat="1" applyFont="1" applyFill="1" applyBorder="1" applyAlignment="1">
      <x:alignment vertical="center"/>
    </x:xf>
    <x:xf numFmtId="200" fontId="1" fillId="5" borderId="10" xfId="0" applyNumberFormat="1" applyFont="1" applyFill="1" applyBorder="1" applyAlignment="1">
      <x:alignment vertical="center"/>
    </x:xf>
    <x:xf numFmtId="200" fontId="1" fillId="5" borderId="7" xfId="0" applyNumberFormat="1" applyFont="1" applyFill="1" applyBorder="1" applyAlignment="1">
      <x:alignment vertical="center"/>
    </x:xf>
    <x:xf numFmtId="200" fontId="1" fillId="6" borderId="4" xfId="0" applyNumberFormat="1" applyFont="1" applyFill="1" applyBorder="1" applyAlignment="1">
      <x:alignment vertical="center"/>
    </x:xf>
    <x:xf numFmtId="200" fontId="1" fillId="6" borderId="7" xfId="0" applyNumberFormat="1" applyFont="1" applyFill="1" applyBorder="1" applyAlignment="1">
      <x:alignment vertical="center"/>
    </x:xf>
    <x:xf numFmtId="200" fontId="1" fillId="7" borderId="4" xfId="0" applyNumberFormat="1" applyFont="1" applyFill="1" applyBorder="1" applyAlignment="1">
      <x:alignment vertical="center"/>
    </x:xf>
    <x:xf numFmtId="200" fontId="1" fillId="7" borderId="7" xfId="0" applyNumberFormat="1" applyFont="1" applyFill="1" applyBorder="1" applyAlignment="1">
      <x:alignment vertical="center"/>
    </x:xf>
    <x:xf numFmtId="200" fontId="1" fillId="3" borderId="10" xfId="0" applyNumberFormat="1" applyFont="1" applyFill="1" applyBorder="1" applyAlignment="1">
      <x:alignment vertical="center"/>
    </x:xf>
    <x:xf numFmtId="200" fontId="1" fillId="4" borderId="10" xfId="0" applyNumberFormat="1" applyFont="1" applyFill="1" applyBorder="1" applyAlignment="1">
      <x:alignment vertical="center"/>
    </x:xf>
    <x:xf numFmtId="200" fontId="1" fillId="7" borderId="10" xfId="0" applyNumberFormat="1" applyFont="1" applyFill="1" applyBorder="1" applyAlignment="1">
      <x:alignment vertical="center"/>
    </x:xf>
    <x:xf numFmtId="0" fontId="1" fillId="3" borderId="4" xfId="0" applyNumberFormat="1" applyFont="1" applyFill="1" applyBorder="1" applyAlignment="1">
      <x:alignment vertical="center" wrapText="1"/>
    </x:xf>
    <x:xf numFmtId="0" fontId="1" fillId="3" borderId="7" xfId="0" applyNumberFormat="1" applyFont="1" applyFill="1" applyBorder="1" applyAlignment="1">
      <x:alignment vertical="center" wrapText="1"/>
    </x:xf>
    <x:xf numFmtId="0" fontId="1" fillId="4" borderId="4" xfId="0" applyNumberFormat="1" applyFont="1" applyFill="1" applyBorder="1" applyAlignment="1">
      <x:alignment vertical="center" wrapText="1"/>
    </x:xf>
    <x:xf numFmtId="0" fontId="1" fillId="4" borderId="7" xfId="0" applyNumberFormat="1" applyFont="1" applyFill="1" applyBorder="1" applyAlignment="1">
      <x:alignment vertical="center" wrapText="1"/>
    </x:xf>
    <x:xf numFmtId="0" fontId="1" fillId="5" borderId="4" xfId="0" applyNumberFormat="1" applyFont="1" applyFill="1" applyBorder="1" applyAlignment="1">
      <x:alignment vertical="center" wrapText="1"/>
    </x:xf>
    <x:xf numFmtId="0" fontId="1" fillId="5" borderId="10" xfId="0" applyNumberFormat="1" applyFont="1" applyFill="1" applyBorder="1" applyAlignment="1">
      <x:alignment vertical="center" wrapText="1"/>
    </x:xf>
    <x:xf numFmtId="0" fontId="1" fillId="5" borderId="7" xfId="0" applyNumberFormat="1" applyFont="1" applyFill="1" applyBorder="1" applyAlignment="1">
      <x:alignment vertical="center" wrapText="1"/>
    </x:xf>
    <x:xf numFmtId="0" fontId="1" fillId="6" borderId="4" xfId="0" applyNumberFormat="1" applyFont="1" applyFill="1" applyBorder="1" applyAlignment="1">
      <x:alignment vertical="center" wrapText="1"/>
    </x:xf>
    <x:xf numFmtId="0" fontId="1" fillId="6" borderId="7" xfId="0" applyNumberFormat="1" applyFont="1" applyFill="1" applyBorder="1" applyAlignment="1">
      <x:alignment vertical="center" wrapText="1"/>
    </x:xf>
    <x:xf numFmtId="0" fontId="1" fillId="7" borderId="4" xfId="0" applyNumberFormat="1" applyFont="1" applyFill="1" applyBorder="1" applyAlignment="1">
      <x:alignment vertical="center" wrapText="1"/>
    </x:xf>
    <x:xf numFmtId="0" fontId="1" fillId="7" borderId="7" xfId="0" applyNumberFormat="1" applyFont="1" applyFill="1" applyBorder="1" applyAlignment="1">
      <x:alignment vertical="center" wrapText="1"/>
    </x:xf>
    <x:xf numFmtId="0" fontId="1" fillId="3" borderId="10" xfId="0" applyNumberFormat="1" applyFont="1" applyFill="1" applyBorder="1" applyAlignment="1">
      <x:alignment vertical="center" wrapText="1"/>
    </x:xf>
    <x:xf numFmtId="0" fontId="1" fillId="4" borderId="10" xfId="0" applyNumberFormat="1" applyFont="1" applyFill="1" applyBorder="1" applyAlignment="1">
      <x:alignment vertical="center" wrapText="1"/>
    </x:xf>
    <x:xf numFmtId="0" fontId="1" fillId="7" borderId="10" xfId="0" applyNumberFormat="1" applyFont="1" applyFill="1" applyBorder="1" applyAlignment="1">
      <x:alignment vertical="center" wrapText="1"/>
    </x:xf>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vertical="center"/>
    </x:xf>
    <x:xf numFmtId="0" fontId="1" fillId="0" borderId="9" xfId="0" applyNumberFormat="1" applyFont="1" applyFill="1" applyBorder="1" applyAlignment="1">
      <x:alignment vertical="center"/>
    </x:xf>
    <x:xf numFmtId="0" fontId="1" fillId="10" borderId="9" xfId="0" applyNumberFormat="1" applyFont="1" applyFill="1" applyBorder="1" applyAlignment="1">
      <x:alignment vertical="center"/>
    </x:xf>
    <x:xf numFmtId="0" fontId="8" fillId="10" borderId="9" xfId="0" applyNumberFormat="1" applyFont="1" applyFill="1" applyBorder="1" applyAlignment="1">
      <x:alignment vertical="center"/>
    </x:xf>
    <x:xf numFmtId="0" fontId="8" fillId="10" borderId="9" xfId="0" applyNumberFormat="1" applyFont="1" applyFill="1" applyBorder="1" applyAlignment="1">
      <x:alignment vertical="center" wrapText="1"/>
    </x:xf>
    <x:xf numFmtId="0" fontId="8" fillId="10" borderId="9" xfId="0" applyNumberFormat="1" applyFont="1" applyFill="1" applyBorder="1" applyAlignment="1">
      <x:alignment horizontal="center" vertical="center" wrapText="1"/>
    </x:xf>
    <x:xf numFmtId="0" fontId="3" fillId="3" borderId="9" xfId="0" applyNumberFormat="1" applyFont="1" applyFill="1" applyBorder="1" applyAlignment="1">
      <x:alignment vertical="center"/>
    </x:xf>
    <x:xf numFmtId="0" fontId="3" fillId="4" borderId="9" xfId="0" applyNumberFormat="1" applyFont="1" applyFill="1" applyBorder="1" applyAlignment="1">
      <x:alignment vertical="center"/>
    </x:xf>
    <x:xf numFmtId="0" fontId="3" fillId="5" borderId="9" xfId="0" applyNumberFormat="1" applyFont="1" applyFill="1" applyBorder="1" applyAlignment="1">
      <x:alignment vertical="center"/>
    </x:xf>
    <x:xf numFmtId="0" fontId="3" fillId="6" borderId="9" xfId="0" applyNumberFormat="1" applyFont="1" applyFill="1" applyBorder="1" applyAlignment="1">
      <x:alignment vertical="center"/>
    </x:xf>
    <x:xf numFmtId="0" fontId="3" fillId="7" borderId="9" xfId="0" applyNumberFormat="1" applyFont="1" applyFill="1" applyBorder="1" applyAlignment="1">
      <x:alignment vertical="center"/>
    </x:xf>
    <x:xf numFmtId="0" fontId="0" fillId="11" borderId="0" xfId="0" applyNumberFormat="1" applyFont="1" applyFill="1" applyBorder="1"/>
    <x:xf numFmtId="0" fontId="7" fillId="11" borderId="0" xfId="0" applyNumberFormat="1" applyFont="1" applyFill="1" applyBorder="1"/>
    <x:xf numFmtId="0" fontId="7" fillId="11" borderId="0" xfId="0" applyNumberFormat="1" applyFont="1" applyFill="1" applyBorder="1" applyAlignment="1">
      <x:alignment vertical="center"/>
    </x:xf>
    <x:xf numFmtId="0" fontId="1" fillId="0" borderId="9" xfId="0" applyNumberFormat="1" applyFont="1" applyFill="1" applyBorder="1" applyAlignment="1">
      <x:alignment vertical="center" wrapText="1"/>
    </x:xf>
    <x:xf numFmtId="0" fontId="0" fillId="12" borderId="0" xfId="0" applyNumberFormat="1" applyFont="1" applyFill="1" applyBorder="1"/>
    <x:xf numFmtId="0" fontId="7" fillId="12" borderId="0" xfId="0" applyNumberFormat="1" applyFont="1" applyFill="1" applyBorder="1"/>
    <x:xf numFmtId="0" fontId="7" fillId="12" borderId="0" xfId="0" applyNumberFormat="1" applyFont="1" applyFill="1" applyBorder="1" applyAlignment="1">
      <x:alignment vertical="center"/>
    </x:xf>
    <x:xf numFmtId="0" fontId="9" fillId="3" borderId="9" xfId="0" applyNumberFormat="1" applyFont="1" applyFill="1" applyBorder="1" applyAlignment="1">
      <x:alignment vertical="center"/>
    </x:xf>
    <x:xf numFmtId="0" fontId="1" fillId="13" borderId="9" xfId="0" applyNumberFormat="1" applyFont="1" applyFill="1" applyBorder="1" applyAlignment="1">
      <x:alignment vertical="center"/>
    </x:xf>
    <x:xf numFmtId="0" fontId="3" fillId="13" borderId="9" xfId="0" applyNumberFormat="1" applyFont="1" applyFill="1" applyBorder="1" applyAlignment="1">
      <x:alignment vertical="center"/>
    </x:xf>
    <x:xf numFmtId="0" fontId="0" fillId="14" borderId="0" xfId="0" applyNumberFormat="1" applyFont="1" applyFill="1" applyBorder="1"/>
    <x:xf numFmtId="0" fontId="7" fillId="14" borderId="0" xfId="0" applyNumberFormat="1" applyFont="1" applyFill="1" applyBorder="1"/>
    <x:xf numFmtId="0" fontId="7" fillId="14" borderId="0" xfId="0" applyNumberFormat="1" applyFont="1" applyFill="1" applyBorder="1" applyAlignment="1">
      <x:alignment vertical="center"/>
    </x:xf>
    <x:xf numFmtId="0" fontId="0" fillId="4" borderId="0" xfId="0" applyNumberFormat="1" applyFont="1" applyFill="1" applyBorder="1"/>
    <x:xf numFmtId="0" fontId="10" fillId="4" borderId="0" xfId="0" applyNumberFormat="1" applyFont="1" applyFill="1" applyBorder="1"/>
    <x:xf numFmtId="0" fontId="10" fillId="4" borderId="0" xfId="0" applyNumberFormat="1" applyFont="1" applyFill="1" applyBorder="1" applyAlignment="1">
      <x:alignment wrapText="1"/>
    </x:xf>
    <x:xf numFmtId="0" fontId="10" fillId="4" borderId="0" xfId="0" applyNumberFormat="1" applyFont="1" applyFill="1" applyBorder="1" applyAlignment="1">
      <x:alignment vertical="center" wrapText="1"/>
    </x:xf>
    <x:xf numFmtId="0" fontId="0" fillId="7" borderId="0" xfId="0" applyNumberFormat="1" applyFont="1" applyFill="1" applyBorder="1"/>
    <x:xf numFmtId="0" fontId="11" fillId="7" borderId="0" xfId="0" applyNumberFormat="1" applyFont="1" applyFill="1" applyBorder="1"/>
    <x:xf numFmtId="0" fontId="11" fillId="7" borderId="11" xfId="0" applyNumberFormat="1" applyFont="1" applyFill="1" applyBorder="1"/>
    <x:xf numFmtId="0" fontId="0" fillId="0" borderId="11" xfId="0" applyNumberFormat="1" applyFont="1" applyFill="1" applyBorder="1"/>
    <x:xf numFmtId="0" fontId="0" fillId="0" borderId="11" xfId="0" applyNumberFormat="1" applyFont="1" applyFill="1" applyBorder="1" applyAlignment="1">
      <x:alignment wrapText="1"/>
    </x:xf>
    <x:xf numFmtId="0" fontId="0" fillId="10" borderId="0" xfId="0" applyNumberFormat="1" applyFont="1" applyFill="1" applyBorder="1"/>
    <x:xf numFmtId="0" fontId="12" fillId="10" borderId="0" xfId="0" applyNumberFormat="1" applyFont="1" applyFill="1" applyBorder="1"/>
    <x:xf numFmtId="0" fontId="0" fillId="3" borderId="0" xfId="0" applyNumberFormat="1" applyFont="1" applyFill="1" applyBorder="1"/>
    <x:xf numFmtId="0" fontId="13" fillId="3" borderId="0" xfId="0" applyNumberFormat="1" applyFont="1" applyFill="1" applyBorder="1"/>
    <x:xf numFmtId="0" fontId="13" fillId="3" borderId="0" xfId="0" applyNumberFormat="1" applyFont="1" applyFill="1" applyBorder="1" applyAlignment="1">
      <x:alignment wrapText="1"/>
    </x:xf>
    <x:xf numFmtId="0" fontId="13" fillId="3" borderId="0" xfId="0" applyNumberFormat="1" applyFont="1" applyFill="1" applyBorder="1" applyAlignment="1">
      <x:alignment vertical="top" wrapText="1"/>
    </x:xf>
    <x:xf numFmtId="0" fontId="0" fillId="5" borderId="0" xfId="0" applyNumberFormat="1" applyFont="1" applyFill="1" applyBorder="1"/>
    <x:xf numFmtId="0" fontId="14" fillId="5" borderId="0" xfId="0" applyNumberFormat="1" applyFont="1" applyFill="1" applyBorder="1"/>
    <x:xf numFmtId="0" fontId="14" fillId="5" borderId="0" xfId="0" applyNumberFormat="1" applyFont="1" applyFill="1" applyBorder="1" applyAlignment="1">
      <x:alignment wrapText="1"/>
    </x:xf>
  </x:cellXfs>
  <x:cellStyles count="1">
    <x:cellStyle name="Normal" xfId="0"/>
  </x:cellStyles>
  <x:dxfs count="6">
    <x:dxf>
      <x:font>
        <x:b/>
        <x:color rgb="FF006100"/>
      </x:font>
      <x:fill>
        <x:patternFill patternType="solid">
          <x:bgColor rgb="FFC6EFCE"/>
        </x:patternFill>
      </x:fill>
    </x:dxf>
    <x:dxf>
      <x:font>
        <x:b/>
        <x:color rgb="FF9C0006"/>
      </x:font>
      <x:fill>
        <x:patternFill patternType="solid">
          <x:bgColor rgb="FFFFC7CE"/>
        </x:patternFill>
      </x:fill>
    </x:dxf>
    <x:dxf>
      <x:font>
        <x:b/>
        <x:color rgb="FF006100"/>
      </x:font>
      <x:fill>
        <x:patternFill patternType="solid">
          <x:bgColor rgb="FFC6EFCE"/>
        </x:patternFill>
      </x:fill>
    </x:dxf>
    <x:dxf>
      <x:font>
        <x:b/>
        <x:color rgb="FF9C0006"/>
      </x:font>
      <x:fill>
        <x:patternFill patternType="solid">
          <x:bgColor rgb="FFFFC7CE"/>
        </x:patternFill>
      </x:fill>
    </x:dxf>
    <x:dxf>
      <x:font>
        <x:b/>
        <x:color rgb="FF006100"/>
      </x:font>
      <x:fill>
        <x:patternFill patternType="solid">
          <x:bgColor rgb="FFC6EFCE"/>
        </x:patternFill>
      </x:fill>
    </x:dxf>
    <x:dxf>
      <x:font>
        <x:b/>
        <x:color rgb="FF9C0006"/>
      </x:font>
      <x:fill>
        <x:patternFill patternType="solid">
          <x:bgColor rgb="FFFFC7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acbea0902094b5c" /><Relationship Type="http://schemas.openxmlformats.org/officeDocument/2006/relationships/theme" Target="/xl/theme/theme1.xml" Id="R18fecc9b29354661" /><Relationship Type="http://schemas.openxmlformats.org/officeDocument/2006/relationships/sharedStrings" Target="/xl/sharedStrings.xml" Id="Rb8cbd5551fc749f7" /><Relationship Type="http://schemas.openxmlformats.org/officeDocument/2006/relationships/worksheet" Target="/xl/worksheets/sheet1.xml" Id="R991d815bfdc44580" /><Relationship Type="http://schemas.openxmlformats.org/officeDocument/2006/relationships/worksheet" Target="/xl/worksheets/sheet2.xml" Id="Rabdfcfe70cc94136" /><Relationship Type="http://schemas.openxmlformats.org/officeDocument/2006/relationships/worksheet" Target="/xl/worksheets/sheet3.xml" Id="Reb6c71b4709d48b2" /><Relationship Type="http://schemas.openxmlformats.org/officeDocument/2006/relationships/worksheet" Target="/xl/worksheets/sheet4.xml" Id="R19ca690e65fb4697" /><Relationship Type="http://schemas.openxmlformats.org/officeDocument/2006/relationships/worksheet" Target="/xl/worksheets/sheet5.xml" Id="R71e80122637c42d2" /><Relationship Type="http://schemas.openxmlformats.org/officeDocument/2006/relationships/worksheet" Target="/xl/worksheets/sheet6.xml" Id="R0f18d18ffa2a486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11" hidden="0" customWidth="1"/>
    <x:col min="3" max="3" width="7" hidden="0" customWidth="1"/>
    <x:col min="4" max="4" width="18" hidden="0" customWidth="1"/>
    <x:col min="5" max="5" width="15" hidden="0" customWidth="1"/>
    <x:col min="6" max="6" width="22" hidden="0" customWidth="1"/>
    <x:col min="7" max="7" width="13" hidden="0" customWidth="1"/>
    <x:col min="8" max="8" width="12" hidden="0" customWidth="1"/>
    <x:col min="9" max="9" width="13" hidden="0" customWidth="1"/>
    <x:col min="10" max="10" width="16" hidden="0" customWidth="1"/>
    <x:col min="11" max="11" width="16" hidden="0" customWidth="1"/>
    <x:col min="12" max="12" width="20" hidden="0" customWidth="1"/>
    <x:col min="13" max="13" width="13" hidden="0" customWidth="1"/>
    <x:col min="14" max="14" width="15" hidden="0" customWidth="1"/>
    <x:col min="15" max="15" width="29" hidden="0" customWidth="1"/>
    <x:col min="16" max="16" width="13" hidden="0" customWidth="1"/>
    <x:col min="17" max="17" width="25" hidden="0" customWidth="1"/>
    <x:col min="18" max="18" width="13" hidden="0" customWidth="1"/>
    <x:col min="19" max="19" width="25" hidden="0" customWidth="1"/>
    <x:col min="20" max="20" width="13" hidden="0" customWidth="1"/>
    <x:col min="21" max="21" width="25" hidden="0" customWidth="1"/>
    <x:col min="22" max="22" width="13" hidden="0" customWidth="1"/>
    <x:col min="23" max="23" width="50" hidden="0" customWidth="1"/>
    <x:col min="24" max="24" width="13" hidden="0" customWidth="1"/>
  </x:cols>
  <x:sheetData>
    <x:row r="1" ht="42" customHeight="1">
      <x:c r="A1" s="7" t="str">
        <x:v>Requirement ID</x:v>
      </x:c>
      <x:c r="B1" s="7" t="str">
        <x:v>Programme</x:v>
      </x:c>
      <x:c r="C1" s="7" t="str">
        <x:v>Year</x:v>
      </x:c>
      <x:c r="D1" s="7" t="str">
        <x:v>Student Group Code</x:v>
      </x:c>
      <x:c r="E1" s="7" t="str">
        <x:v>Module Code</x:v>
      </x:c>
      <x:c r="F1" s="7" t="str">
        <x:v>Module Title</x:v>
      </x:c>
      <x:c r="G1" s="7" t="str">
        <x:v>Class Type</x:v>
      </x:c>
      <x:c r="H1" s="7" t="str">
        <x:v>Session Count</x:v>
      </x:c>
      <x:c r="I1" s="7" t="str">
        <x:v>Duration Hours</x:v>
      </x:c>
      <x:c r="J1" s="7" t="str">
        <x:v>Sessions Per Week</x:v>
      </x:c>
      <x:c r="K1" s="7" t="str">
        <x:v>Delivery Mode</x:v>
      </x:c>
      <x:c r="L1" s="7" t="str">
        <x:v>Venue Type Required</x:v>
      </x:c>
      <x:c r="M1" s="7" t="str">
        <x:v>Campus Mode</x:v>
      </x:c>
      <x:c r="N1" s="7" t="str">
        <x:v>Exact Class Size</x:v>
      </x:c>
      <x:c r="O1" s="7" t="str">
        <x:v>Staff 1 Name</x:v>
      </x:c>
      <x:c r="P1" s="7" t="str">
        <x:v>Staff 1 ID</x:v>
      </x:c>
      <x:c r="Q1" s="7" t="str">
        <x:v>Staff 2 Name</x:v>
      </x:c>
      <x:c r="R1" s="7" t="str">
        <x:v>Staff 2 ID</x:v>
      </x:c>
      <x:c r="S1" s="7" t="str">
        <x:v>Staff 3 Name</x:v>
      </x:c>
      <x:c r="T1" s="7" t="str">
        <x:v>Staff 3 ID</x:v>
      </x:c>
      <x:c r="U1" s="7" t="str">
        <x:v>Staff 4 Name</x:v>
      </x:c>
      <x:c r="V1" s="7" t="str">
        <x:v>Staff 4 ID</x:v>
      </x:c>
      <x:c r="W1" s="7" t="str">
        <x:v>Source File</x:v>
      </x:c>
      <x:c r="X1" s="7" t="str">
        <x:v>Source Row No</x:v>
      </x:c>
    </x:row>
    <x:row r="2" ht="22" customHeight="1">
      <x:c r="A2" s="55" t="str">
        <x:v>REQ-ACC-ACC1023-LEC-01</x:v>
      </x:c>
      <x:c r="B2" s="69" t="str">
        <x:v>ACC</x:v>
      </x:c>
      <x:c r="C2" s="106" t="n">
        <x:v>1</x:v>
      </x:c>
      <x:c r="D2" s="10" t="str">
        <x:v>ACC Y1 P1</x:v>
      </x:c>
      <x:c r="E2" s="86" t="str">
        <x:v>ACC1023</x:v>
      </x:c>
      <x:c r="F2" s="89" t="str">
        <x:v>ACC1023</x:v>
      </x:c>
      <x:c r="G2" s="10" t="str">
        <x:v>Lecture</x:v>
      </x:c>
      <x:c r="H2" s="106" t="n">
        <x:v>1</x:v>
      </x:c>
      <x:c r="I2" s="120" t="n">
        <x:v>2</x:v>
      </x:c>
      <x:c r="J2" s="106" t="n">
        <x:v>1</x:v>
      </x:c>
      <x:c r="K2" s="103" t="str">
        <x:v>Online</x:v>
      </x:c>
      <x:c r="L2" s="103" t="str">
        <x:v>Virtual</x:v>
      </x:c>
      <x:c r="M2" s="103" t="str">
        <x:v>Virtual</x:v>
      </x:c>
      <x:c r="N2" s="106" t="n">
        <x:v>40</x:v>
      </x:c>
      <x:c r="O2" s="89" t="str">
        <x:v>AFIFAH BINTE ABDUL RAHMAN</x:v>
      </x:c>
      <x:c r="P2" s="89" t="str">
        <x:v>EMP1001</x:v>
      </x:c>
      <x:c r="Q2" s="89"/>
      <x:c r="R2" s="89"/>
      <x:c r="S2" s="89"/>
      <x:c r="T2" s="89"/>
      <x:c r="U2" s="89"/>
      <x:c r="V2" s="10"/>
      <x:c r="W2" s="89" t="str">
        <x:v>Requirements Template_ENG.xlsx + current admin module database</x:v>
      </x:c>
      <x:c r="X2" s="134" t="n">
        <x:v>9</x:v>
      </x:c>
    </x:row>
    <x:row r="3" ht="22" customHeight="1">
      <x:c r="A3" s="56" t="str">
        <x:v>REQ-ACC-ACC1023-TUT-02</x:v>
      </x:c>
      <x:c r="B3" s="70" t="str">
        <x:v>ACC</x:v>
      </x:c>
      <x:c r="C3" s="107" t="n">
        <x:v>1</x:v>
      </x:c>
      <x:c r="D3" s="13" t="str">
        <x:v>ACC Y1 P1</x:v>
      </x:c>
      <x:c r="E3" s="87" t="str">
        <x:v>ACC1023</x:v>
      </x:c>
      <x:c r="F3" s="90" t="str">
        <x:v>ACC1023</x:v>
      </x:c>
      <x:c r="G3" s="13" t="str">
        <x:v>Tutorial</x:v>
      </x:c>
      <x:c r="H3" s="107" t="n">
        <x:v>1</x:v>
      </x:c>
      <x:c r="I3" s="121" t="n">
        <x:v>2</x:v>
      </x:c>
      <x:c r="J3" s="107" t="n">
        <x:v>1</x:v>
      </x:c>
      <x:c r="K3" s="13" t="str">
        <x:v>Face-to-face</x:v>
      </x:c>
      <x:c r="L3" s="13" t="str">
        <x:v>Seminar Room</x:v>
      </x:c>
      <x:c r="M3" s="13" t="str">
        <x:v>Physical</x:v>
      </x:c>
      <x:c r="N3" s="107" t="n">
        <x:v>40</x:v>
      </x:c>
      <x:c r="O3" s="90" t="str">
        <x:v>AFIFAH BINTE ABDUL RAHMAN</x:v>
      </x:c>
      <x:c r="P3" s="90" t="str">
        <x:v>EMP1001</x:v>
      </x:c>
      <x:c r="Q3" s="90"/>
      <x:c r="R3" s="90"/>
      <x:c r="S3" s="90"/>
      <x:c r="T3" s="90"/>
      <x:c r="U3" s="90"/>
      <x:c r="V3" s="13"/>
      <x:c r="W3" s="90" t="str">
        <x:v>Requirements Template_ENG.xlsx + current admin module database</x:v>
      </x:c>
      <x:c r="X3" s="135" t="n">
        <x:v>9</x:v>
      </x:c>
    </x:row>
    <x:row r="4" ht="22" customHeight="1">
      <x:c r="A4" s="57" t="str">
        <x:v>REQ-ACC-ACC1024-LCT-01</x:v>
      </x:c>
      <x:c r="B4" s="71" t="str">
        <x:v>ACC</x:v>
      </x:c>
      <x:c r="C4" s="108" t="n">
        <x:v>1</x:v>
      </x:c>
      <x:c r="D4" s="17" t="str">
        <x:v>ACC Y1 P1</x:v>
      </x:c>
      <x:c r="E4" s="86" t="str">
        <x:v>ACC1024</x:v>
      </x:c>
      <x:c r="F4" s="91" t="str">
        <x:v>ACC1024</x:v>
      </x:c>
      <x:c r="G4" s="17" t="str">
        <x:v>Lectorial</x:v>
      </x:c>
      <x:c r="H4" s="108" t="n">
        <x:v>1</x:v>
      </x:c>
      <x:c r="I4" s="122" t="n">
        <x:v>2</x:v>
      </x:c>
      <x:c r="J4" s="108" t="n">
        <x:v>1</x:v>
      </x:c>
      <x:c r="K4" s="17" t="str">
        <x:v>Face-to-face</x:v>
      </x:c>
      <x:c r="L4" s="17" t="str">
        <x:v>Lectorial</x:v>
      </x:c>
      <x:c r="M4" s="17" t="str">
        <x:v>Physical</x:v>
      </x:c>
      <x:c r="N4" s="108" t="n">
        <x:v>40</x:v>
      </x:c>
      <x:c r="O4" s="91" t="str">
        <x:v>DEVENNEY KATE ELIZABET</x:v>
      </x:c>
      <x:c r="P4" s="91" t="str">
        <x:v>EMP1002</x:v>
      </x:c>
      <x:c r="Q4" s="91"/>
      <x:c r="R4" s="91"/>
      <x:c r="S4" s="91"/>
      <x:c r="T4" s="91"/>
      <x:c r="U4" s="91"/>
      <x:c r="V4" s="17"/>
      <x:c r="W4" s="91" t="str">
        <x:v>Requirements Template_ENG.xlsx + current admin module database</x:v>
      </x:c>
      <x:c r="X4" s="136" t="n">
        <x:v>10</x:v>
      </x:c>
    </x:row>
    <x:row r="5" ht="22" customHeight="1">
      <x:c r="A5" s="58" t="str">
        <x:v>REQ-ACC-ACC1024-TUT-02</x:v>
      </x:c>
      <x:c r="B5" s="72" t="str">
        <x:v>ACC</x:v>
      </x:c>
      <x:c r="C5" s="109" t="n">
        <x:v>1</x:v>
      </x:c>
      <x:c r="D5" s="20" t="str">
        <x:v>ACC Y1 P1</x:v>
      </x:c>
      <x:c r="E5" s="87" t="str">
        <x:v>ACC1024</x:v>
      </x:c>
      <x:c r="F5" s="92" t="str">
        <x:v>ACC1024</x:v>
      </x:c>
      <x:c r="G5" s="20" t="str">
        <x:v>Tutorial</x:v>
      </x:c>
      <x:c r="H5" s="109" t="n">
        <x:v>1</x:v>
      </x:c>
      <x:c r="I5" s="123" t="n">
        <x:v>2</x:v>
      </x:c>
      <x:c r="J5" s="109" t="n">
        <x:v>1</x:v>
      </x:c>
      <x:c r="K5" s="20" t="str">
        <x:v>Face-to-face</x:v>
      </x:c>
      <x:c r="L5" s="20" t="str">
        <x:v>Seminar Room</x:v>
      </x:c>
      <x:c r="M5" s="20" t="str">
        <x:v>Physical</x:v>
      </x:c>
      <x:c r="N5" s="109" t="n">
        <x:v>40</x:v>
      </x:c>
      <x:c r="O5" s="92" t="str">
        <x:v>DEVENNEY KATE ELIZABET</x:v>
      </x:c>
      <x:c r="P5" s="92" t="str">
        <x:v>EMP1002</x:v>
      </x:c>
      <x:c r="Q5" s="92"/>
      <x:c r="R5" s="92"/>
      <x:c r="S5" s="92"/>
      <x:c r="T5" s="92"/>
      <x:c r="U5" s="92"/>
      <x:c r="V5" s="20"/>
      <x:c r="W5" s="92" t="str">
        <x:v>Requirements Template_ENG.xlsx + current admin module database</x:v>
      </x:c>
      <x:c r="X5" s="137" t="n">
        <x:v>10</x:v>
      </x:c>
    </x:row>
    <x:row r="6" ht="22" customHeight="1">
      <x:c r="A6" s="59" t="str">
        <x:v>REQ-ACC-ACC1025-LEC-01</x:v>
      </x:c>
      <x:c r="B6" s="73" t="str">
        <x:v>ACC</x:v>
      </x:c>
      <x:c r="C6" s="110" t="n">
        <x:v>1</x:v>
      </x:c>
      <x:c r="D6" s="24" t="str">
        <x:v>ACC Y1 P1</x:v>
      </x:c>
      <x:c r="E6" s="86" t="str">
        <x:v>ACC1025</x:v>
      </x:c>
      <x:c r="F6" s="93" t="str">
        <x:v>ACC1025</x:v>
      </x:c>
      <x:c r="G6" s="24" t="str">
        <x:v>Lecture</x:v>
      </x:c>
      <x:c r="H6" s="110" t="n">
        <x:v>1</x:v>
      </x:c>
      <x:c r="I6" s="124" t="n">
        <x:v>2</x:v>
      </x:c>
      <x:c r="J6" s="110" t="n">
        <x:v>1</x:v>
      </x:c>
      <x:c r="K6" s="24" t="str">
        <x:v>Face-to-face</x:v>
      </x:c>
      <x:c r="L6" s="24" t="str">
        <x:v>Lectorial</x:v>
      </x:c>
      <x:c r="M6" s="24" t="str">
        <x:v>Physical</x:v>
      </x:c>
      <x:c r="N6" s="110" t="n">
        <x:v>40</x:v>
      </x:c>
      <x:c r="O6" s="93" t="str">
        <x:v>JESMOND HONG</x:v>
      </x:c>
      <x:c r="P6" s="93" t="str">
        <x:v>EMP1003</x:v>
      </x:c>
      <x:c r="Q6" s="93"/>
      <x:c r="R6" s="93"/>
      <x:c r="S6" s="93"/>
      <x:c r="T6" s="93"/>
      <x:c r="U6" s="93"/>
      <x:c r="V6" s="24"/>
      <x:c r="W6" s="93" t="str">
        <x:v>Requirements Template_ENG.xlsx + current admin module database</x:v>
      </x:c>
      <x:c r="X6" s="138" t="n">
        <x:v>11</x:v>
      </x:c>
    </x:row>
    <x:row r="7" ht="22" customHeight="1">
      <x:c r="A7" s="60" t="str">
        <x:v>REQ-ACC-ACC1025-TUT-02</x:v>
      </x:c>
      <x:c r="B7" s="74" t="str">
        <x:v>ACC</x:v>
      </x:c>
      <x:c r="C7" s="111" t="n">
        <x:v>1</x:v>
      </x:c>
      <x:c r="D7" s="27" t="str">
        <x:v>ACC Y1 P1</x:v>
      </x:c>
      <x:c r="E7" s="88" t="str">
        <x:v>ACC1025</x:v>
      </x:c>
      <x:c r="F7" s="94" t="str">
        <x:v>ACC1025</x:v>
      </x:c>
      <x:c r="G7" s="27" t="str">
        <x:v>Tutorial</x:v>
      </x:c>
      <x:c r="H7" s="111" t="n">
        <x:v>1</x:v>
      </x:c>
      <x:c r="I7" s="125" t="n">
        <x:v>2</x:v>
      </x:c>
      <x:c r="J7" s="111" t="n">
        <x:v>1</x:v>
      </x:c>
      <x:c r="K7" s="27" t="str">
        <x:v>Face-to-face</x:v>
      </x:c>
      <x:c r="L7" s="27" t="str">
        <x:v>Seminar Room</x:v>
      </x:c>
      <x:c r="M7" s="27" t="str">
        <x:v>Physical</x:v>
      </x:c>
      <x:c r="N7" s="111" t="n">
        <x:v>40</x:v>
      </x:c>
      <x:c r="O7" s="94" t="str">
        <x:v>JESMOND HONG</x:v>
      </x:c>
      <x:c r="P7" s="94" t="str">
        <x:v>EMP1003</x:v>
      </x:c>
      <x:c r="Q7" s="94"/>
      <x:c r="R7" s="94"/>
      <x:c r="S7" s="94"/>
      <x:c r="T7" s="94"/>
      <x:c r="U7" s="94"/>
      <x:c r="V7" s="27"/>
      <x:c r="W7" s="94" t="str">
        <x:v>Requirements Template_ENG.xlsx + current admin module database</x:v>
      </x:c>
      <x:c r="X7" s="139" t="n">
        <x:v>11</x:v>
      </x:c>
    </x:row>
    <x:row r="8" ht="22" customHeight="1">
      <x:c r="A8" s="61" t="str">
        <x:v>REQ-ACC-ACC1025-QZ-03</x:v>
      </x:c>
      <x:c r="B8" s="75" t="str">
        <x:v>ACC</x:v>
      </x:c>
      <x:c r="C8" s="112" t="n">
        <x:v>1</x:v>
      </x:c>
      <x:c r="D8" s="30" t="str">
        <x:v>ACC Y1 P1</x:v>
      </x:c>
      <x:c r="E8" s="87" t="str">
        <x:v>ACC1025</x:v>
      </x:c>
      <x:c r="F8" s="95" t="str">
        <x:v>ACC1025</x:v>
      </x:c>
      <x:c r="G8" s="44" t="str">
        <x:v>Quiz</x:v>
      </x:c>
      <x:c r="H8" s="116" t="n">
        <x:v>1</x:v>
      </x:c>
      <x:c r="I8" s="126" t="n">
        <x:v>1</x:v>
      </x:c>
      <x:c r="J8" s="112" t="n">
        <x:v>1</x:v>
      </x:c>
      <x:c r="K8" s="30" t="str">
        <x:v>Face-to-face</x:v>
      </x:c>
      <x:c r="L8" s="30" t="str">
        <x:v>Lectorial</x:v>
      </x:c>
      <x:c r="M8" s="30" t="str">
        <x:v>Physical</x:v>
      </x:c>
      <x:c r="N8" s="112" t="n">
        <x:v>40</x:v>
      </x:c>
      <x:c r="O8" s="95" t="str">
        <x:v>JESMOND HONG</x:v>
      </x:c>
      <x:c r="P8" s="95" t="str">
        <x:v>EMP1003</x:v>
      </x:c>
      <x:c r="Q8" s="95"/>
      <x:c r="R8" s="95"/>
      <x:c r="S8" s="95"/>
      <x:c r="T8" s="95"/>
      <x:c r="U8" s="95"/>
      <x:c r="V8" s="30"/>
      <x:c r="W8" s="95" t="str">
        <x:v>Requirements Template_ENG.xlsx + current admin module database</x:v>
      </x:c>
      <x:c r="X8" s="140" t="n">
        <x:v>11</x:v>
      </x:c>
    </x:row>
    <x:row r="9" ht="22" customHeight="1">
      <x:c r="A9" s="62" t="str">
        <x:v>REQ-ACC-ACC1026-WKS-01</x:v>
      </x:c>
      <x:c r="B9" s="76" t="str">
        <x:v>ACC</x:v>
      </x:c>
      <x:c r="C9" s="113" t="n">
        <x:v>1</x:v>
      </x:c>
      <x:c r="D9" s="34" t="str">
        <x:v>ACC Y1 P1</x:v>
      </x:c>
      <x:c r="E9" s="86" t="str">
        <x:v>ACC1026</x:v>
      </x:c>
      <x:c r="F9" s="96" t="str">
        <x:v>ACC1026</x:v>
      </x:c>
      <x:c r="G9" s="34" t="str">
        <x:v>Workshop</x:v>
      </x:c>
      <x:c r="H9" s="113" t="n">
        <x:v>1</x:v>
      </x:c>
      <x:c r="I9" s="127" t="n">
        <x:v>3</x:v>
      </x:c>
      <x:c r="J9" s="113" t="n">
        <x:v>1</x:v>
      </x:c>
      <x:c r="K9" s="34" t="str">
        <x:v>Face-to-face</x:v>
      </x:c>
      <x:c r="L9" s="34" t="str">
        <x:v>Seminar Room</x:v>
      </x:c>
      <x:c r="M9" s="34" t="str">
        <x:v>Physical</x:v>
      </x:c>
      <x:c r="N9" s="113" t="n">
        <x:v>40</x:v>
      </x:c>
      <x:c r="O9" s="96" t="str">
        <x:v>JOSEPH GREENER</x:v>
      </x:c>
      <x:c r="P9" s="96" t="str">
        <x:v>EMP1004</x:v>
      </x:c>
      <x:c r="Q9" s="96"/>
      <x:c r="R9" s="96"/>
      <x:c r="S9" s="96"/>
      <x:c r="T9" s="96"/>
      <x:c r="U9" s="96"/>
      <x:c r="V9" s="34"/>
      <x:c r="W9" s="96" t="str">
        <x:v>Requirements Template_ENG.xlsx + current admin module database</x:v>
      </x:c>
      <x:c r="X9" s="141" t="n">
        <x:v>12</x:v>
      </x:c>
    </x:row>
    <x:row r="10" ht="22" customHeight="1">
      <x:c r="A10" s="63" t="str">
        <x:v>REQ-ACC-ACC1026-SEM-02</x:v>
      </x:c>
      <x:c r="B10" s="77" t="str">
        <x:v>ACC</x:v>
      </x:c>
      <x:c r="C10" s="114" t="n">
        <x:v>1</x:v>
      </x:c>
      <x:c r="D10" s="37" t="str">
        <x:v>ACC Y1 P1</x:v>
      </x:c>
      <x:c r="E10" s="87" t="str">
        <x:v>ACC1026</x:v>
      </x:c>
      <x:c r="F10" s="97" t="str">
        <x:v>ACC1026</x:v>
      </x:c>
      <x:c r="G10" s="37" t="str">
        <x:v>Seminar</x:v>
      </x:c>
      <x:c r="H10" s="114" t="n">
        <x:v>1</x:v>
      </x:c>
      <x:c r="I10" s="128" t="n">
        <x:v>2</x:v>
      </x:c>
      <x:c r="J10" s="114" t="n">
        <x:v>1</x:v>
      </x:c>
      <x:c r="K10" s="37" t="str">
        <x:v>Face-to-face</x:v>
      </x:c>
      <x:c r="L10" s="37" t="str">
        <x:v>Seminar Room</x:v>
      </x:c>
      <x:c r="M10" s="37" t="str">
        <x:v>Physical</x:v>
      </x:c>
      <x:c r="N10" s="114" t="n">
        <x:v>40</x:v>
      </x:c>
      <x:c r="O10" s="97" t="str">
        <x:v>JOSEPH GREENER</x:v>
      </x:c>
      <x:c r="P10" s="97" t="str">
        <x:v>EMP1004</x:v>
      </x:c>
      <x:c r="Q10" s="97"/>
      <x:c r="R10" s="97"/>
      <x:c r="S10" s="97"/>
      <x:c r="T10" s="97"/>
      <x:c r="U10" s="97"/>
      <x:c r="V10" s="37"/>
      <x:c r="W10" s="97" t="str">
        <x:v>Requirements Template_ENG.xlsx + current admin module database</x:v>
      </x:c>
      <x:c r="X10" s="142" t="n">
        <x:v>12</x:v>
      </x:c>
    </x:row>
    <x:row r="11" ht="22" customHeight="1">
      <x:c r="A11" s="64" t="str">
        <x:v>REQ-ACC-ACC3011-LEC-01</x:v>
      </x:c>
      <x:c r="B11" s="78" t="str">
        <x:v>ACC</x:v>
      </x:c>
      <x:c r="C11" s="115" t="n">
        <x:v>3</x:v>
      </x:c>
      <x:c r="D11" s="41" t="str">
        <x:v>ACC Y3 P1</x:v>
      </x:c>
      <x:c r="E11" s="86" t="str">
        <x:v>ACC3011</x:v>
      </x:c>
      <x:c r="F11" s="98" t="str">
        <x:v>ACC3011</x:v>
      </x:c>
      <x:c r="G11" s="41" t="str">
        <x:v>Lecture</x:v>
      </x:c>
      <x:c r="H11" s="115" t="n">
        <x:v>1</x:v>
      </x:c>
      <x:c r="I11" s="129" t="n">
        <x:v>2</x:v>
      </x:c>
      <x:c r="J11" s="115" t="n">
        <x:v>1</x:v>
      </x:c>
      <x:c r="K11" s="41" t="str">
        <x:v>Face-to-face</x:v>
      </x:c>
      <x:c r="L11" s="41" t="str">
        <x:v>Lectorial</x:v>
      </x:c>
      <x:c r="M11" s="41" t="str">
        <x:v>Physical</x:v>
      </x:c>
      <x:c r="N11" s="115" t="n">
        <x:v>40</x:v>
      </x:c>
      <x:c r="O11" s="98" t="str">
        <x:v>KATE MARIE MACNAMARA</x:v>
      </x:c>
      <x:c r="P11" s="98" t="str">
        <x:v>EMP1005</x:v>
      </x:c>
      <x:c r="Q11" s="98"/>
      <x:c r="R11" s="98"/>
      <x:c r="S11" s="98"/>
      <x:c r="T11" s="98"/>
      <x:c r="U11" s="98"/>
      <x:c r="V11" s="41"/>
      <x:c r="W11" s="98" t="str">
        <x:v>Requirements Template_ENG.xlsx + current admin module database</x:v>
      </x:c>
      <x:c r="X11" s="143" t="n">
        <x:v>15</x:v>
      </x:c>
    </x:row>
    <x:row r="12" ht="22" customHeight="1">
      <x:c r="A12" s="65" t="str">
        <x:v>REQ-ACC-ACC3011-TUT-02</x:v>
      </x:c>
      <x:c r="B12" s="79" t="str">
        <x:v>ACC</x:v>
      </x:c>
      <x:c r="C12" s="116" t="n">
        <x:v>3</x:v>
      </x:c>
      <x:c r="D12" s="44" t="str">
        <x:v>ACC Y3 P1</x:v>
      </x:c>
      <x:c r="E12" s="87" t="str">
        <x:v>ACC3011</x:v>
      </x:c>
      <x:c r="F12" s="99" t="str">
        <x:v>ACC3011</x:v>
      </x:c>
      <x:c r="G12" s="44" t="str">
        <x:v>Tutorial</x:v>
      </x:c>
      <x:c r="H12" s="116" t="n">
        <x:v>1</x:v>
      </x:c>
      <x:c r="I12" s="126" t="n">
        <x:v>2</x:v>
      </x:c>
      <x:c r="J12" s="116" t="n">
        <x:v>1</x:v>
      </x:c>
      <x:c r="K12" s="44" t="str">
        <x:v>Face-to-face</x:v>
      </x:c>
      <x:c r="L12" s="44" t="str">
        <x:v>Seminar Room</x:v>
      </x:c>
      <x:c r="M12" s="44" t="str">
        <x:v>Physical</x:v>
      </x:c>
      <x:c r="N12" s="116" t="n">
        <x:v>40</x:v>
      </x:c>
      <x:c r="O12" s="99" t="str">
        <x:v>KATE MARIE MACNAMARA</x:v>
      </x:c>
      <x:c r="P12" s="99" t="str">
        <x:v>EMP1005</x:v>
      </x:c>
      <x:c r="Q12" s="99"/>
      <x:c r="R12" s="99"/>
      <x:c r="S12" s="99"/>
      <x:c r="T12" s="99"/>
      <x:c r="U12" s="99"/>
      <x:c r="V12" s="44"/>
      <x:c r="W12" s="99" t="str">
        <x:v>Requirements Template_ENG.xlsx + current admin module database</x:v>
      </x:c>
      <x:c r="X12" s="144" t="n">
        <x:v>15</x:v>
      </x:c>
    </x:row>
    <x:row r="13" ht="22" customHeight="1">
      <x:c r="A13" s="55" t="str">
        <x:v>REQ-ASE-ASE1101-LEC-01</x:v>
      </x:c>
      <x:c r="B13" s="69" t="str">
        <x:v>ASE</x:v>
      </x:c>
      <x:c r="C13" s="106" t="n">
        <x:v>1</x:v>
      </x:c>
      <x:c r="D13" s="10" t="str">
        <x:v>ASE Y1 P1</x:v>
      </x:c>
      <x:c r="E13" s="86" t="str">
        <x:v>ASE1101</x:v>
      </x:c>
      <x:c r="F13" s="89" t="str">
        <x:v>ASE1101</x:v>
      </x:c>
      <x:c r="G13" s="10" t="str">
        <x:v>Lecture</x:v>
      </x:c>
      <x:c r="H13" s="106" t="n">
        <x:v>1</x:v>
      </x:c>
      <x:c r="I13" s="120" t="n">
        <x:v>2</x:v>
      </x:c>
      <x:c r="J13" s="106" t="n">
        <x:v>1</x:v>
      </x:c>
      <x:c r="K13" s="103" t="str">
        <x:v>Asynchronous</x:v>
      </x:c>
      <x:c r="L13" s="103" t="str">
        <x:v>Virtual</x:v>
      </x:c>
      <x:c r="M13" s="103" t="str">
        <x:v>Virtual</x:v>
      </x:c>
      <x:c r="N13" s="106" t="n">
        <x:v>40</x:v>
      </x:c>
      <x:c r="O13" s="89" t="str">
        <x:v>CHOO JIAN HUEI</x:v>
      </x:c>
      <x:c r="P13" s="89" t="str">
        <x:v>EMP1323</x:v>
      </x:c>
      <x:c r="Q13" s="89"/>
      <x:c r="R13" s="89"/>
      <x:c r="S13" s="89"/>
      <x:c r="T13" s="89"/>
      <x:c r="U13" s="89"/>
      <x:c r="V13" s="10"/>
      <x:c r="W13" s="89" t="str">
        <x:v>ASE_Year 1_Requirements 2510.xlsx</x:v>
      </x:c>
      <x:c r="X13" s="134" t="n">
        <x:v>4</x:v>
      </x:c>
    </x:row>
    <x:row r="14" ht="22" customHeight="1">
      <x:c r="A14" s="66" t="str">
        <x:v>REQ-ASE-ASE1101-TUT-02</x:v>
      </x:c>
      <x:c r="B14" s="80" t="str">
        <x:v>ASE</x:v>
      </x:c>
      <x:c r="C14" s="117" t="n">
        <x:v>1</x:v>
      </x:c>
      <x:c r="D14" s="47" t="str">
        <x:v>ASE Y1 P1</x:v>
      </x:c>
      <x:c r="E14" s="88" t="str">
        <x:v>ASE1101</x:v>
      </x:c>
      <x:c r="F14" s="100" t="str">
        <x:v>ASE1101</x:v>
      </x:c>
      <x:c r="G14" s="47" t="str">
        <x:v>Tutorial</x:v>
      </x:c>
      <x:c r="H14" s="117" t="n">
        <x:v>1</x:v>
      </x:c>
      <x:c r="I14" s="130" t="n">
        <x:v>2</x:v>
      </x:c>
      <x:c r="J14" s="117" t="n">
        <x:v>1</x:v>
      </x:c>
      <x:c r="K14" s="47" t="str">
        <x:v>Face-to-face</x:v>
      </x:c>
      <x:c r="L14" s="47" t="str">
        <x:v>Seminar Room</x:v>
      </x:c>
      <x:c r="M14" s="47" t="str">
        <x:v>Physical</x:v>
      </x:c>
      <x:c r="N14" s="117" t="n">
        <x:v>40</x:v>
      </x:c>
      <x:c r="O14" s="100" t="str">
        <x:v>CHOO JIAN HUEI</x:v>
      </x:c>
      <x:c r="P14" s="100" t="str">
        <x:v>EMP1323</x:v>
      </x:c>
      <x:c r="Q14" s="100"/>
      <x:c r="R14" s="100"/>
      <x:c r="S14" s="100"/>
      <x:c r="T14" s="100"/>
      <x:c r="U14" s="100"/>
      <x:c r="V14" s="47"/>
      <x:c r="W14" s="100" t="str">
        <x:v>ASE_Year 1_Requirements 2510.xlsx</x:v>
      </x:c>
      <x:c r="X14" s="145" t="n">
        <x:v>5</x:v>
      </x:c>
    </x:row>
    <x:row r="15" ht="22" customHeight="1">
      <x:c r="A15" s="56" t="str">
        <x:v>REQ-ASE-ASE1101-QZ-03</x:v>
      </x:c>
      <x:c r="B15" s="70" t="str">
        <x:v>ASE</x:v>
      </x:c>
      <x:c r="C15" s="107" t="n">
        <x:v>1</x:v>
      </x:c>
      <x:c r="D15" s="13" t="str">
        <x:v>ASE Y1 P1</x:v>
      </x:c>
      <x:c r="E15" s="87" t="str">
        <x:v>ASE1101</x:v>
      </x:c>
      <x:c r="F15" s="90" t="str">
        <x:v>ASE1101</x:v>
      </x:c>
      <x:c r="G15" s="44" t="str">
        <x:v>Quiz</x:v>
      </x:c>
      <x:c r="H15" s="116" t="n">
        <x:v>1</x:v>
      </x:c>
      <x:c r="I15" s="126" t="n">
        <x:v>1</x:v>
      </x:c>
      <x:c r="J15" s="107" t="n">
        <x:v>1</x:v>
      </x:c>
      <x:c r="K15" s="13" t="str">
        <x:v>Face-to-face</x:v>
      </x:c>
      <x:c r="L15" s="13" t="str">
        <x:v>Lectorial</x:v>
      </x:c>
      <x:c r="M15" s="13" t="str">
        <x:v>Physical</x:v>
      </x:c>
      <x:c r="N15" s="107" t="n">
        <x:v>40</x:v>
      </x:c>
      <x:c r="O15" s="90" t="str">
        <x:v>CHOO JIAN HUEI</x:v>
      </x:c>
      <x:c r="P15" s="90" t="str">
        <x:v>EMP1323</x:v>
      </x:c>
      <x:c r="Q15" s="90"/>
      <x:c r="R15" s="90"/>
      <x:c r="S15" s="90"/>
      <x:c r="T15" s="90"/>
      <x:c r="U15" s="90"/>
      <x:c r="V15" s="13"/>
      <x:c r="W15" s="90" t="str">
        <x:v>ASE_Year 1_Requirements 2510.xlsx</x:v>
      </x:c>
      <x:c r="X15" s="135" t="n">
        <x:v>7</x:v>
      </x:c>
    </x:row>
    <x:row r="16" ht="22" customHeight="1">
      <x:c r="A16" s="57" t="str">
        <x:v>REQ-ASE-ASE1201-LEC-01</x:v>
      </x:c>
      <x:c r="B16" s="71" t="str">
        <x:v>ASE</x:v>
      </x:c>
      <x:c r="C16" s="108" t="n">
        <x:v>1</x:v>
      </x:c>
      <x:c r="D16" s="17" t="str">
        <x:v>ASE Y1 P1</x:v>
      </x:c>
      <x:c r="E16" s="86" t="str">
        <x:v>ASE1201</x:v>
      </x:c>
      <x:c r="F16" s="91" t="str">
        <x:v>ASE1201</x:v>
      </x:c>
      <x:c r="G16" s="17" t="str">
        <x:v>Lecture</x:v>
      </x:c>
      <x:c r="H16" s="108" t="n">
        <x:v>1</x:v>
      </x:c>
      <x:c r="I16" s="122" t="n">
        <x:v>2</x:v>
      </x:c>
      <x:c r="J16" s="108" t="n">
        <x:v>1</x:v>
      </x:c>
      <x:c r="K16" s="17" t="str">
        <x:v>Face-to-face</x:v>
      </x:c>
      <x:c r="L16" s="17" t="str">
        <x:v>Lectorial</x:v>
      </x:c>
      <x:c r="M16" s="17" t="str">
        <x:v>Physical</x:v>
      </x:c>
      <x:c r="N16" s="108" t="n">
        <x:v>40</x:v>
      </x:c>
      <x:c r="O16" s="91" t="str">
        <x:v>CHOO JIAN HUEI</x:v>
      </x:c>
      <x:c r="P16" s="91" t="str">
        <x:v>EMP1323</x:v>
      </x:c>
      <x:c r="Q16" s="91"/>
      <x:c r="R16" s="91"/>
      <x:c r="S16" s="91"/>
      <x:c r="T16" s="91"/>
      <x:c r="U16" s="91"/>
      <x:c r="V16" s="17"/>
      <x:c r="W16" s="91" t="str">
        <x:v>ASE_Year 1_Requirements 2510.xlsx</x:v>
      </x:c>
      <x:c r="X16" s="136" t="n">
        <x:v>4</x:v>
      </x:c>
    </x:row>
    <x:row r="17" ht="22" customHeight="1">
      <x:c r="A17" s="58" t="str">
        <x:v>REQ-ASE-ASE1201-TUT-02</x:v>
      </x:c>
      <x:c r="B17" s="72" t="str">
        <x:v>ASE</x:v>
      </x:c>
      <x:c r="C17" s="109" t="n">
        <x:v>1</x:v>
      </x:c>
      <x:c r="D17" s="20" t="str">
        <x:v>ASE Y1 P1</x:v>
      </x:c>
      <x:c r="E17" s="87" t="str">
        <x:v>ASE1201</x:v>
      </x:c>
      <x:c r="F17" s="92" t="str">
        <x:v>ASE1201</x:v>
      </x:c>
      <x:c r="G17" s="20" t="str">
        <x:v>Tutorial</x:v>
      </x:c>
      <x:c r="H17" s="109" t="n">
        <x:v>1</x:v>
      </x:c>
      <x:c r="I17" s="123" t="n">
        <x:v>2</x:v>
      </x:c>
      <x:c r="J17" s="109" t="n">
        <x:v>1</x:v>
      </x:c>
      <x:c r="K17" s="20" t="str">
        <x:v>Face-to-face</x:v>
      </x:c>
      <x:c r="L17" s="20" t="str">
        <x:v>Seminar Room</x:v>
      </x:c>
      <x:c r="M17" s="20" t="str">
        <x:v>Physical</x:v>
      </x:c>
      <x:c r="N17" s="109" t="n">
        <x:v>40</x:v>
      </x:c>
      <x:c r="O17" s="92" t="str">
        <x:v>CHOO JIAN HUEI</x:v>
      </x:c>
      <x:c r="P17" s="92" t="str">
        <x:v>EMP1323</x:v>
      </x:c>
      <x:c r="Q17" s="92"/>
      <x:c r="R17" s="92"/>
      <x:c r="S17" s="92"/>
      <x:c r="T17" s="92"/>
      <x:c r="U17" s="92"/>
      <x:c r="V17" s="20"/>
      <x:c r="W17" s="92" t="str">
        <x:v>ASE_Year 1_Requirements 2510.xlsx</x:v>
      </x:c>
      <x:c r="X17" s="137" t="n">
        <x:v>6</x:v>
      </x:c>
    </x:row>
    <x:row r="18" ht="22" customHeight="1">
      <x:c r="A18" s="59" t="str">
        <x:v>REQ-ASE-ASE1202-LEC-01</x:v>
      </x:c>
      <x:c r="B18" s="73" t="str">
        <x:v>ASE</x:v>
      </x:c>
      <x:c r="C18" s="110" t="n">
        <x:v>1</x:v>
      </x:c>
      <x:c r="D18" s="24" t="str">
        <x:v>ASE Y1 P1</x:v>
      </x:c>
      <x:c r="E18" s="86" t="str">
        <x:v>ASE1202</x:v>
      </x:c>
      <x:c r="F18" s="93" t="str">
        <x:v>ASE1202</x:v>
      </x:c>
      <x:c r="G18" s="24" t="str">
        <x:v>Lecture</x:v>
      </x:c>
      <x:c r="H18" s="110" t="n">
        <x:v>1</x:v>
      </x:c>
      <x:c r="I18" s="124" t="n">
        <x:v>3</x:v>
      </x:c>
      <x:c r="J18" s="110" t="n">
        <x:v>1</x:v>
      </x:c>
      <x:c r="K18" s="24" t="str">
        <x:v>Face-to-face</x:v>
      </x:c>
      <x:c r="L18" s="24" t="str">
        <x:v>Lectorial</x:v>
      </x:c>
      <x:c r="M18" s="24" t="str">
        <x:v>Physical</x:v>
      </x:c>
      <x:c r="N18" s="110" t="n">
        <x:v>40</x:v>
      </x:c>
      <x:c r="O18" s="93" t="str">
        <x:v>LEE KWEE HIONG</x:v>
      </x:c>
      <x:c r="P18" s="93" t="str">
        <x:v>EMP2004</x:v>
      </x:c>
      <x:c r="Q18" s="93"/>
      <x:c r="R18" s="93"/>
      <x:c r="S18" s="93"/>
      <x:c r="T18" s="93"/>
      <x:c r="U18" s="93"/>
      <x:c r="V18" s="24"/>
      <x:c r="W18" s="93" t="str">
        <x:v>ASE_Year 1_Requirements 2510.xlsx</x:v>
      </x:c>
      <x:c r="X18" s="138" t="n">
        <x:v>9</x:v>
      </x:c>
    </x:row>
    <x:row r="19" ht="22" customHeight="1">
      <x:c r="A19" s="61" t="str">
        <x:v>REQ-ASE-ASE1202-TUT-02</x:v>
      </x:c>
      <x:c r="B19" s="75" t="str">
        <x:v>ASE</x:v>
      </x:c>
      <x:c r="C19" s="112" t="n">
        <x:v>1</x:v>
      </x:c>
      <x:c r="D19" s="30" t="str">
        <x:v>ASE Y1 P1</x:v>
      </x:c>
      <x:c r="E19" s="87" t="str">
        <x:v>ASE1202</x:v>
      </x:c>
      <x:c r="F19" s="95" t="str">
        <x:v>ASE1202</x:v>
      </x:c>
      <x:c r="G19" s="30" t="str">
        <x:v>Tutorial</x:v>
      </x:c>
      <x:c r="H19" s="112" t="n">
        <x:v>1</x:v>
      </x:c>
      <x:c r="I19" s="131" t="n">
        <x:v>2</x:v>
      </x:c>
      <x:c r="J19" s="112" t="n">
        <x:v>1</x:v>
      </x:c>
      <x:c r="K19" s="30" t="str">
        <x:v>Face-to-face</x:v>
      </x:c>
      <x:c r="L19" s="30" t="str">
        <x:v>Seminar Room</x:v>
      </x:c>
      <x:c r="M19" s="30" t="str">
        <x:v>Physical</x:v>
      </x:c>
      <x:c r="N19" s="112" t="n">
        <x:v>40</x:v>
      </x:c>
      <x:c r="O19" s="95" t="str">
        <x:v>LEE KWEE HIONG</x:v>
      </x:c>
      <x:c r="P19" s="95" t="str">
        <x:v>EMP2004</x:v>
      </x:c>
      <x:c r="Q19" s="95"/>
      <x:c r="R19" s="95"/>
      <x:c r="S19" s="95"/>
      <x:c r="T19" s="95"/>
      <x:c r="U19" s="95"/>
      <x:c r="V19" s="30"/>
      <x:c r="W19" s="95" t="str">
        <x:v>ASE_Year 1_Requirements 2510.xlsx</x:v>
      </x:c>
      <x:c r="X19" s="140" t="n">
        <x:v>10</x:v>
      </x:c>
    </x:row>
    <x:row r="20" ht="22" customHeight="1">
      <x:c r="A20" s="62" t="str">
        <x:v>REQ-ASE-ASE2210-LEC-01</x:v>
      </x:c>
      <x:c r="B20" s="76" t="str">
        <x:v>ASE</x:v>
      </x:c>
      <x:c r="C20" s="113" t="n">
        <x:v>2</x:v>
      </x:c>
      <x:c r="D20" s="34" t="str">
        <x:v>ASE Y2 P1</x:v>
      </x:c>
      <x:c r="E20" s="86" t="str">
        <x:v>ASE2210</x:v>
      </x:c>
      <x:c r="F20" s="96" t="str">
        <x:v>ASE2210</x:v>
      </x:c>
      <x:c r="G20" s="34" t="str">
        <x:v>Lecture</x:v>
      </x:c>
      <x:c r="H20" s="113" t="n">
        <x:v>1</x:v>
      </x:c>
      <x:c r="I20" s="127" t="n">
        <x:v>2</x:v>
      </x:c>
      <x:c r="J20" s="113" t="n">
        <x:v>1</x:v>
      </x:c>
      <x:c r="K20" s="34" t="str">
        <x:v>Face-to-face</x:v>
      </x:c>
      <x:c r="L20" s="34" t="str">
        <x:v>Lectorial</x:v>
      </x:c>
      <x:c r="M20" s="34" t="str">
        <x:v>Physical</x:v>
      </x:c>
      <x:c r="N20" s="113" t="n">
        <x:v>40</x:v>
      </x:c>
      <x:c r="O20" s="96" t="str">
        <x:v>TEO TAI YONG</x:v>
      </x:c>
      <x:c r="P20" s="96" t="str">
        <x:v>EMP2961</x:v>
      </x:c>
      <x:c r="Q20" s="96"/>
      <x:c r="R20" s="96"/>
      <x:c r="S20" s="96"/>
      <x:c r="T20" s="96"/>
      <x:c r="U20" s="96"/>
      <x:c r="V20" s="34"/>
      <x:c r="W20" s="96" t="str">
        <x:v>ASE_Year 2_Requirements 2510.xlsx</x:v>
      </x:c>
      <x:c r="X20" s="141" t="n">
        <x:v>4</x:v>
      </x:c>
    </x:row>
    <x:row r="21" ht="22" customHeight="1">
      <x:c r="A21" s="63" t="str">
        <x:v>REQ-ASE-ASE2210-TUT-02</x:v>
      </x:c>
      <x:c r="B21" s="77" t="str">
        <x:v>ASE</x:v>
      </x:c>
      <x:c r="C21" s="114" t="n">
        <x:v>2</x:v>
      </x:c>
      <x:c r="D21" s="37" t="str">
        <x:v>ASE Y2 P1</x:v>
      </x:c>
      <x:c r="E21" s="87" t="str">
        <x:v>ASE2210</x:v>
      </x:c>
      <x:c r="F21" s="97" t="str">
        <x:v>ASE2210</x:v>
      </x:c>
      <x:c r="G21" s="37" t="str">
        <x:v>Tutorial</x:v>
      </x:c>
      <x:c r="H21" s="114" t="n">
        <x:v>1</x:v>
      </x:c>
      <x:c r="I21" s="128" t="n">
        <x:v>2</x:v>
      </x:c>
      <x:c r="J21" s="114" t="n">
        <x:v>1</x:v>
      </x:c>
      <x:c r="K21" s="37" t="str">
        <x:v>Face-to-face</x:v>
      </x:c>
      <x:c r="L21" s="37" t="str">
        <x:v>Seminar Room</x:v>
      </x:c>
      <x:c r="M21" s="37" t="str">
        <x:v>Physical</x:v>
      </x:c>
      <x:c r="N21" s="114" t="n">
        <x:v>40</x:v>
      </x:c>
      <x:c r="O21" s="97" t="str">
        <x:v>PEH KAY SOON</x:v>
      </x:c>
      <x:c r="P21" s="97" t="str">
        <x:v>EMP2518</x:v>
      </x:c>
      <x:c r="Q21" s="97"/>
      <x:c r="R21" s="97"/>
      <x:c r="S21" s="97"/>
      <x:c r="T21" s="97"/>
      <x:c r="U21" s="97"/>
      <x:c r="V21" s="37"/>
      <x:c r="W21" s="97" t="str">
        <x:v>Requirements Template_ENG.xlsx + current admin module database</x:v>
      </x:c>
      <x:c r="X21" s="142" t="n">
        <x:v>26</x:v>
      </x:c>
    </x:row>
    <x:row r="22" ht="22" customHeight="1">
      <x:c r="A22" s="64" t="str">
        <x:v>REQ-ASE-ASE3106-LEC-01</x:v>
      </x:c>
      <x:c r="B22" s="78" t="str">
        <x:v>ASE</x:v>
      </x:c>
      <x:c r="C22" s="115" t="n">
        <x:v>3</x:v>
      </x:c>
      <x:c r="D22" s="41" t="str">
        <x:v>ASE Y3 P1</x:v>
      </x:c>
      <x:c r="E22" s="86" t="str">
        <x:v>ASE3106</x:v>
      </x:c>
      <x:c r="F22" s="98" t="str">
        <x:v>ASE3106</x:v>
      </x:c>
      <x:c r="G22" s="41" t="str">
        <x:v>Lecture</x:v>
      </x:c>
      <x:c r="H22" s="115" t="n">
        <x:v>1</x:v>
      </x:c>
      <x:c r="I22" s="129" t="n">
        <x:v>2</x:v>
      </x:c>
      <x:c r="J22" s="115" t="n">
        <x:v>1</x:v>
      </x:c>
      <x:c r="K22" s="41" t="str">
        <x:v>Face-to-face</x:v>
      </x:c>
      <x:c r="L22" s="41" t="str">
        <x:v>Lectorial</x:v>
      </x:c>
      <x:c r="M22" s="41" t="str">
        <x:v>Physical</x:v>
      </x:c>
      <x:c r="N22" s="115" t="n">
        <x:v>40</x:v>
      </x:c>
      <x:c r="O22" s="98" t="str">
        <x:v>PEH KAY SOON</x:v>
      </x:c>
      <x:c r="P22" s="98" t="str">
        <x:v>EMP2518</x:v>
      </x:c>
      <x:c r="Q22" s="98" t="str">
        <x:v>TEO TAI YONG</x:v>
      </x:c>
      <x:c r="R22" s="98" t="str">
        <x:v>EMP2961</x:v>
      </x:c>
      <x:c r="S22" s="98"/>
      <x:c r="T22" s="98"/>
      <x:c r="U22" s="98"/>
      <x:c r="V22" s="41"/>
      <x:c r="W22" s="98" t="str">
        <x:v>ASE_Year 3_Requirements 2510.xlsx</x:v>
      </x:c>
      <x:c r="X22" s="143" t="n">
        <x:v>4</x:v>
      </x:c>
    </x:row>
    <x:row r="23" ht="22" customHeight="1">
      <x:c r="A23" s="65" t="str">
        <x:v>REQ-ASE-ASE3106-TUT-02</x:v>
      </x:c>
      <x:c r="B23" s="79" t="str">
        <x:v>ASE</x:v>
      </x:c>
      <x:c r="C23" s="116" t="n">
        <x:v>3</x:v>
      </x:c>
      <x:c r="D23" s="44" t="str">
        <x:v>ASE Y3 P1</x:v>
      </x:c>
      <x:c r="E23" s="87" t="str">
        <x:v>ASE3106</x:v>
      </x:c>
      <x:c r="F23" s="99" t="str">
        <x:v>ASE3106</x:v>
      </x:c>
      <x:c r="G23" s="44" t="str">
        <x:v>Tutorial</x:v>
      </x:c>
      <x:c r="H23" s="116" t="n">
        <x:v>1</x:v>
      </x:c>
      <x:c r="I23" s="126" t="n">
        <x:v>2</x:v>
      </x:c>
      <x:c r="J23" s="116" t="n">
        <x:v>1</x:v>
      </x:c>
      <x:c r="K23" s="44" t="str">
        <x:v>Face-to-face</x:v>
      </x:c>
      <x:c r="L23" s="44" t="str">
        <x:v>Seminar Room</x:v>
      </x:c>
      <x:c r="M23" s="44" t="str">
        <x:v>Physical</x:v>
      </x:c>
      <x:c r="N23" s="116" t="n">
        <x:v>40</x:v>
      </x:c>
      <x:c r="O23" s="99" t="str">
        <x:v>FONG WENG SENG</x:v>
      </x:c>
      <x:c r="P23" s="99" t="str">
        <x:v>EMP1522</x:v>
      </x:c>
      <x:c r="Q23" s="99"/>
      <x:c r="R23" s="99"/>
      <x:c r="S23" s="99"/>
      <x:c r="T23" s="99"/>
      <x:c r="U23" s="99"/>
      <x:c r="V23" s="44"/>
      <x:c r="W23" s="99" t="str">
        <x:v>Requirements Template_ENG.xlsx + current admin module database</x:v>
      </x:c>
      <x:c r="X23" s="144" t="n">
        <x:v>28</x:v>
      </x:c>
    </x:row>
    <x:row r="24" ht="22" customHeight="1">
      <x:c r="A24" s="55" t="str">
        <x:v>REQ-ATM-ATM1104-LEC-01</x:v>
      </x:c>
      <x:c r="B24" s="69" t="str">
        <x:v>ATM</x:v>
      </x:c>
      <x:c r="C24" s="106" t="n">
        <x:v>1</x:v>
      </x:c>
      <x:c r="D24" s="10" t="str">
        <x:v>ATM Y1 P1</x:v>
      </x:c>
      <x:c r="E24" s="86" t="str">
        <x:v>ATM1104</x:v>
      </x:c>
      <x:c r="F24" s="89" t="str">
        <x:v>ATM1104</x:v>
      </x:c>
      <x:c r="G24" s="10" t="str">
        <x:v>Lecture</x:v>
      </x:c>
      <x:c r="H24" s="106" t="n">
        <x:v>1</x:v>
      </x:c>
      <x:c r="I24" s="120" t="n">
        <x:v>2</x:v>
      </x:c>
      <x:c r="J24" s="106" t="n">
        <x:v>1</x:v>
      </x:c>
      <x:c r="K24" s="103" t="str">
        <x:v>Online</x:v>
      </x:c>
      <x:c r="L24" s="103" t="str">
        <x:v>Virtual</x:v>
      </x:c>
      <x:c r="M24" s="103" t="str">
        <x:v>Virtual</x:v>
      </x:c>
      <x:c r="N24" s="106" t="n">
        <x:v>40</x:v>
      </x:c>
      <x:c r="O24" s="89" t="str">
        <x:v>LYNN ONG</x:v>
      </x:c>
      <x:c r="P24" s="89" t="str">
        <x:v>EMP1006</x:v>
      </x:c>
      <x:c r="Q24" s="89"/>
      <x:c r="R24" s="89"/>
      <x:c r="S24" s="89"/>
      <x:c r="T24" s="89"/>
      <x:c r="U24" s="89"/>
      <x:c r="V24" s="10"/>
      <x:c r="W24" s="89" t="str">
        <x:v>Requirements Template_ENG.xlsx + current admin module database</x:v>
      </x:c>
      <x:c r="X24" s="134" t="n">
        <x:v>32</x:v>
      </x:c>
    </x:row>
    <x:row r="25" ht="22" customHeight="1">
      <x:c r="A25" s="56" t="str">
        <x:v>REQ-ATM-ATM1104-TUT-02</x:v>
      </x:c>
      <x:c r="B25" s="70" t="str">
        <x:v>ATM</x:v>
      </x:c>
      <x:c r="C25" s="107" t="n">
        <x:v>1</x:v>
      </x:c>
      <x:c r="D25" s="13" t="str">
        <x:v>ATM Y1 P1</x:v>
      </x:c>
      <x:c r="E25" s="87" t="str">
        <x:v>ATM1104</x:v>
      </x:c>
      <x:c r="F25" s="90" t="str">
        <x:v>ATM1104</x:v>
      </x:c>
      <x:c r="G25" s="13" t="str">
        <x:v>Tutorial</x:v>
      </x:c>
      <x:c r="H25" s="107" t="n">
        <x:v>1</x:v>
      </x:c>
      <x:c r="I25" s="121" t="n">
        <x:v>2</x:v>
      </x:c>
      <x:c r="J25" s="107" t="n">
        <x:v>1</x:v>
      </x:c>
      <x:c r="K25" s="13" t="str">
        <x:v>Face-to-face</x:v>
      </x:c>
      <x:c r="L25" s="13" t="str">
        <x:v>Seminar Room</x:v>
      </x:c>
      <x:c r="M25" s="13" t="str">
        <x:v>Physical</x:v>
      </x:c>
      <x:c r="N25" s="107" t="n">
        <x:v>40</x:v>
      </x:c>
      <x:c r="O25" s="90" t="str">
        <x:v>LYNN ONG</x:v>
      </x:c>
      <x:c r="P25" s="90" t="str">
        <x:v>EMP1006</x:v>
      </x:c>
      <x:c r="Q25" s="90"/>
      <x:c r="R25" s="90"/>
      <x:c r="S25" s="90"/>
      <x:c r="T25" s="90"/>
      <x:c r="U25" s="90"/>
      <x:c r="V25" s="13"/>
      <x:c r="W25" s="90" t="str">
        <x:v>Requirements Template_ENG.xlsx + current admin module database</x:v>
      </x:c>
      <x:c r="X25" s="135" t="n">
        <x:v>32</x:v>
      </x:c>
    </x:row>
    <x:row r="26" ht="22" customHeight="1">
      <x:c r="A26" s="57" t="str">
        <x:v>REQ-ATM-ATM1105-LCT-01</x:v>
      </x:c>
      <x:c r="B26" s="71" t="str">
        <x:v>ATM</x:v>
      </x:c>
      <x:c r="C26" s="108" t="n">
        <x:v>1</x:v>
      </x:c>
      <x:c r="D26" s="17" t="str">
        <x:v>ATM Y1 P1</x:v>
      </x:c>
      <x:c r="E26" s="86" t="str">
        <x:v>ATM1105</x:v>
      </x:c>
      <x:c r="F26" s="91" t="str">
        <x:v>ATM1105</x:v>
      </x:c>
      <x:c r="G26" s="17" t="str">
        <x:v>Lectorial</x:v>
      </x:c>
      <x:c r="H26" s="108" t="n">
        <x:v>1</x:v>
      </x:c>
      <x:c r="I26" s="122" t="n">
        <x:v>2</x:v>
      </x:c>
      <x:c r="J26" s="108" t="n">
        <x:v>1</x:v>
      </x:c>
      <x:c r="K26" s="17" t="str">
        <x:v>Face-to-face</x:v>
      </x:c>
      <x:c r="L26" s="17" t="str">
        <x:v>Lectorial</x:v>
      </x:c>
      <x:c r="M26" s="17" t="str">
        <x:v>Physical</x:v>
      </x:c>
      <x:c r="N26" s="108" t="n">
        <x:v>40</x:v>
      </x:c>
      <x:c r="O26" s="91" t="str">
        <x:v>MOHAMMAD SHIHABUL HAQUE</x:v>
      </x:c>
      <x:c r="P26" s="91" t="str">
        <x:v>EMP1007</x:v>
      </x:c>
      <x:c r="Q26" s="91"/>
      <x:c r="R26" s="91"/>
      <x:c r="S26" s="91"/>
      <x:c r="T26" s="91"/>
      <x:c r="U26" s="91"/>
      <x:c r="V26" s="17"/>
      <x:c r="W26" s="91" t="str">
        <x:v>Requirements Template_ENG.xlsx + current admin module database</x:v>
      </x:c>
      <x:c r="X26" s="136" t="n">
        <x:v>33</x:v>
      </x:c>
    </x:row>
    <x:row r="27" ht="22" customHeight="1">
      <x:c r="A27" s="58" t="str">
        <x:v>REQ-ATM-ATM1105-TUT-02</x:v>
      </x:c>
      <x:c r="B27" s="72" t="str">
        <x:v>ATM</x:v>
      </x:c>
      <x:c r="C27" s="109" t="n">
        <x:v>1</x:v>
      </x:c>
      <x:c r="D27" s="20" t="str">
        <x:v>ATM Y1 P1</x:v>
      </x:c>
      <x:c r="E27" s="87" t="str">
        <x:v>ATM1105</x:v>
      </x:c>
      <x:c r="F27" s="92" t="str">
        <x:v>ATM1105</x:v>
      </x:c>
      <x:c r="G27" s="20" t="str">
        <x:v>Tutorial</x:v>
      </x:c>
      <x:c r="H27" s="109" t="n">
        <x:v>1</x:v>
      </x:c>
      <x:c r="I27" s="123" t="n">
        <x:v>2</x:v>
      </x:c>
      <x:c r="J27" s="109" t="n">
        <x:v>1</x:v>
      </x:c>
      <x:c r="K27" s="20" t="str">
        <x:v>Face-to-face</x:v>
      </x:c>
      <x:c r="L27" s="20" t="str">
        <x:v>Seminar Room</x:v>
      </x:c>
      <x:c r="M27" s="20" t="str">
        <x:v>Physical</x:v>
      </x:c>
      <x:c r="N27" s="109" t="n">
        <x:v>40</x:v>
      </x:c>
      <x:c r="O27" s="92" t="str">
        <x:v>MOHAMMAD SHIHABUL HAQUE</x:v>
      </x:c>
      <x:c r="P27" s="92" t="str">
        <x:v>EMP1007</x:v>
      </x:c>
      <x:c r="Q27" s="92"/>
      <x:c r="R27" s="92"/>
      <x:c r="S27" s="92"/>
      <x:c r="T27" s="92"/>
      <x:c r="U27" s="92"/>
      <x:c r="V27" s="20"/>
      <x:c r="W27" s="92" t="str">
        <x:v>Requirements Template_ENG.xlsx + current admin module database</x:v>
      </x:c>
      <x:c r="X27" s="137" t="n">
        <x:v>33</x:v>
      </x:c>
    </x:row>
    <x:row r="28" ht="22" customHeight="1">
      <x:c r="A28" s="59" t="str">
        <x:v>REQ-ATM-ATM1106-LEC-01</x:v>
      </x:c>
      <x:c r="B28" s="73" t="str">
        <x:v>ATM</x:v>
      </x:c>
      <x:c r="C28" s="110" t="n">
        <x:v>1</x:v>
      </x:c>
      <x:c r="D28" s="24" t="str">
        <x:v>ATM Y1 P1</x:v>
      </x:c>
      <x:c r="E28" s="86" t="str">
        <x:v>ATM1106</x:v>
      </x:c>
      <x:c r="F28" s="93" t="str">
        <x:v>ATM1106</x:v>
      </x:c>
      <x:c r="G28" s="24" t="str">
        <x:v>Lecture</x:v>
      </x:c>
      <x:c r="H28" s="110" t="n">
        <x:v>1</x:v>
      </x:c>
      <x:c r="I28" s="124" t="n">
        <x:v>2</x:v>
      </x:c>
      <x:c r="J28" s="110" t="n">
        <x:v>1</x:v>
      </x:c>
      <x:c r="K28" s="24" t="str">
        <x:v>Face-to-face</x:v>
      </x:c>
      <x:c r="L28" s="24" t="str">
        <x:v>Lectorial</x:v>
      </x:c>
      <x:c r="M28" s="24" t="str">
        <x:v>Physical</x:v>
      </x:c>
      <x:c r="N28" s="110" t="n">
        <x:v>40</x:v>
      </x:c>
      <x:c r="O28" s="93" t="str">
        <x:v>PABLO LEANDRO CIOCCHINI</x:v>
      </x:c>
      <x:c r="P28" s="93" t="str">
        <x:v>EMP1008</x:v>
      </x:c>
      <x:c r="Q28" s="93"/>
      <x:c r="R28" s="93"/>
      <x:c r="S28" s="93"/>
      <x:c r="T28" s="93"/>
      <x:c r="U28" s="93"/>
      <x:c r="V28" s="24"/>
      <x:c r="W28" s="93" t="str">
        <x:v>Requirements Template_ENG.xlsx + current admin module database</x:v>
      </x:c>
      <x:c r="X28" s="138" t="n">
        <x:v>34</x:v>
      </x:c>
    </x:row>
    <x:row r="29" ht="22" customHeight="1">
      <x:c r="A29" s="60" t="str">
        <x:v>REQ-ATM-ATM1106-TUT-02</x:v>
      </x:c>
      <x:c r="B29" s="74" t="str">
        <x:v>ATM</x:v>
      </x:c>
      <x:c r="C29" s="111" t="n">
        <x:v>1</x:v>
      </x:c>
      <x:c r="D29" s="27" t="str">
        <x:v>ATM Y1 P1</x:v>
      </x:c>
      <x:c r="E29" s="88" t="str">
        <x:v>ATM1106</x:v>
      </x:c>
      <x:c r="F29" s="94" t="str">
        <x:v>ATM1106</x:v>
      </x:c>
      <x:c r="G29" s="27" t="str">
        <x:v>Tutorial</x:v>
      </x:c>
      <x:c r="H29" s="111" t="n">
        <x:v>1</x:v>
      </x:c>
      <x:c r="I29" s="125" t="n">
        <x:v>2</x:v>
      </x:c>
      <x:c r="J29" s="111" t="n">
        <x:v>1</x:v>
      </x:c>
      <x:c r="K29" s="27" t="str">
        <x:v>Face-to-face</x:v>
      </x:c>
      <x:c r="L29" s="27" t="str">
        <x:v>Seminar Room</x:v>
      </x:c>
      <x:c r="M29" s="27" t="str">
        <x:v>Physical</x:v>
      </x:c>
      <x:c r="N29" s="111" t="n">
        <x:v>40</x:v>
      </x:c>
      <x:c r="O29" s="94" t="str">
        <x:v>PABLO LEANDRO CIOCCHINI</x:v>
      </x:c>
      <x:c r="P29" s="94" t="str">
        <x:v>EMP1008</x:v>
      </x:c>
      <x:c r="Q29" s="94"/>
      <x:c r="R29" s="94"/>
      <x:c r="S29" s="94"/>
      <x:c r="T29" s="94"/>
      <x:c r="U29" s="94"/>
      <x:c r="V29" s="27"/>
      <x:c r="W29" s="94" t="str">
        <x:v>Requirements Template_ENG.xlsx + current admin module database</x:v>
      </x:c>
      <x:c r="X29" s="139" t="n">
        <x:v>34</x:v>
      </x:c>
    </x:row>
    <x:row r="30" ht="22" customHeight="1">
      <x:c r="A30" s="61" t="str">
        <x:v>REQ-ATM-ATM1106-QZ-03</x:v>
      </x:c>
      <x:c r="B30" s="75" t="str">
        <x:v>ATM</x:v>
      </x:c>
      <x:c r="C30" s="112" t="n">
        <x:v>1</x:v>
      </x:c>
      <x:c r="D30" s="30" t="str">
        <x:v>ATM Y1 P1</x:v>
      </x:c>
      <x:c r="E30" s="87" t="str">
        <x:v>ATM1106</x:v>
      </x:c>
      <x:c r="F30" s="95" t="str">
        <x:v>ATM1106</x:v>
      </x:c>
      <x:c r="G30" s="44" t="str">
        <x:v>Quiz</x:v>
      </x:c>
      <x:c r="H30" s="116" t="n">
        <x:v>1</x:v>
      </x:c>
      <x:c r="I30" s="126" t="n">
        <x:v>1</x:v>
      </x:c>
      <x:c r="J30" s="112" t="n">
        <x:v>1</x:v>
      </x:c>
      <x:c r="K30" s="30" t="str">
        <x:v>Face-to-face</x:v>
      </x:c>
      <x:c r="L30" s="30" t="str">
        <x:v>Lectorial</x:v>
      </x:c>
      <x:c r="M30" s="30" t="str">
        <x:v>Physical</x:v>
      </x:c>
      <x:c r="N30" s="112" t="n">
        <x:v>40</x:v>
      </x:c>
      <x:c r="O30" s="95" t="str">
        <x:v>PABLO LEANDRO CIOCCHINI</x:v>
      </x:c>
      <x:c r="P30" s="95" t="str">
        <x:v>EMP1008</x:v>
      </x:c>
      <x:c r="Q30" s="95"/>
      <x:c r="R30" s="95"/>
      <x:c r="S30" s="95"/>
      <x:c r="T30" s="95"/>
      <x:c r="U30" s="95"/>
      <x:c r="V30" s="30"/>
      <x:c r="W30" s="95" t="str">
        <x:v>Requirements Template_ENG.xlsx + current admin module database</x:v>
      </x:c>
      <x:c r="X30" s="140" t="n">
        <x:v>34</x:v>
      </x:c>
    </x:row>
    <x:row r="31" ht="22" customHeight="1">
      <x:c r="A31" s="62" t="str">
        <x:v>REQ-ATM-ATM3301-WKS-01</x:v>
      </x:c>
      <x:c r="B31" s="76" t="str">
        <x:v>ATM</x:v>
      </x:c>
      <x:c r="C31" s="113" t="n">
        <x:v>3</x:v>
      </x:c>
      <x:c r="D31" s="34" t="str">
        <x:v>ATM Y3 P1</x:v>
      </x:c>
      <x:c r="E31" s="86" t="str">
        <x:v>ATM3301</x:v>
      </x:c>
      <x:c r="F31" s="96" t="str">
        <x:v>ATM3301</x:v>
      </x:c>
      <x:c r="G31" s="34" t="str">
        <x:v>Workshop</x:v>
      </x:c>
      <x:c r="H31" s="113" t="n">
        <x:v>1</x:v>
      </x:c>
      <x:c r="I31" s="127" t="n">
        <x:v>3</x:v>
      </x:c>
      <x:c r="J31" s="113" t="n">
        <x:v>1</x:v>
      </x:c>
      <x:c r="K31" s="34" t="str">
        <x:v>Face-to-face</x:v>
      </x:c>
      <x:c r="L31" s="34" t="str">
        <x:v>Seminar Room</x:v>
      </x:c>
      <x:c r="M31" s="34" t="str">
        <x:v>Physical</x:v>
      </x:c>
      <x:c r="N31" s="113" t="n">
        <x:v>40</x:v>
      </x:c>
      <x:c r="O31" s="96" t="str">
        <x:v>SLAWOMIR GRZEGORZ WLODKOWSKI</x:v>
      </x:c>
      <x:c r="P31" s="96" t="str">
        <x:v>EMP1009</x:v>
      </x:c>
      <x:c r="Q31" s="96"/>
      <x:c r="R31" s="96"/>
      <x:c r="S31" s="96"/>
      <x:c r="T31" s="96"/>
      <x:c r="U31" s="96"/>
      <x:c r="V31" s="34"/>
      <x:c r="W31" s="96" t="str">
        <x:v>Requirements Template_ENG.xlsx + current admin module database</x:v>
      </x:c>
      <x:c r="X31" s="141" t="n">
        <x:v>37</x:v>
      </x:c>
    </x:row>
    <x:row r="32" ht="22" customHeight="1">
      <x:c r="A32" s="63" t="str">
        <x:v>REQ-ATM-ATM3301-SEM-02</x:v>
      </x:c>
      <x:c r="B32" s="77" t="str">
        <x:v>ATM</x:v>
      </x:c>
      <x:c r="C32" s="114" t="n">
        <x:v>3</x:v>
      </x:c>
      <x:c r="D32" s="37" t="str">
        <x:v>ATM Y3 P1</x:v>
      </x:c>
      <x:c r="E32" s="87" t="str">
        <x:v>ATM3301</x:v>
      </x:c>
      <x:c r="F32" s="97" t="str">
        <x:v>ATM3301</x:v>
      </x:c>
      <x:c r="G32" s="37" t="str">
        <x:v>Seminar</x:v>
      </x:c>
      <x:c r="H32" s="114" t="n">
        <x:v>1</x:v>
      </x:c>
      <x:c r="I32" s="128" t="n">
        <x:v>2</x:v>
      </x:c>
      <x:c r="J32" s="114" t="n">
        <x:v>1</x:v>
      </x:c>
      <x:c r="K32" s="37" t="str">
        <x:v>Face-to-face</x:v>
      </x:c>
      <x:c r="L32" s="37" t="str">
        <x:v>Seminar Room</x:v>
      </x:c>
      <x:c r="M32" s="37" t="str">
        <x:v>Physical</x:v>
      </x:c>
      <x:c r="N32" s="114" t="n">
        <x:v>40</x:v>
      </x:c>
      <x:c r="O32" s="97" t="str">
        <x:v>SLAWOMIR GRZEGORZ WLODKOWSKI</x:v>
      </x:c>
      <x:c r="P32" s="97" t="str">
        <x:v>EMP1009</x:v>
      </x:c>
      <x:c r="Q32" s="97"/>
      <x:c r="R32" s="97"/>
      <x:c r="S32" s="97"/>
      <x:c r="T32" s="97"/>
      <x:c r="U32" s="97"/>
      <x:c r="V32" s="37"/>
      <x:c r="W32" s="97" t="str">
        <x:v>Requirements Template_ENG.xlsx + current admin module database</x:v>
      </x:c>
      <x:c r="X32" s="142" t="n">
        <x:v>37</x:v>
      </x:c>
    </x:row>
    <x:row r="33" ht="22" customHeight="1">
      <x:c r="A33" s="64" t="str">
        <x:v>REQ-ATM-ATM3302-LEC-01</x:v>
      </x:c>
      <x:c r="B33" s="78" t="str">
        <x:v>ATM</x:v>
      </x:c>
      <x:c r="C33" s="115" t="n">
        <x:v>3</x:v>
      </x:c>
      <x:c r="D33" s="41" t="str">
        <x:v>ATM Y3 P1</x:v>
      </x:c>
      <x:c r="E33" s="86" t="str">
        <x:v>ATM3302</x:v>
      </x:c>
      <x:c r="F33" s="98" t="str">
        <x:v>ATM3302</x:v>
      </x:c>
      <x:c r="G33" s="41" t="str">
        <x:v>Lecture</x:v>
      </x:c>
      <x:c r="H33" s="115" t="n">
        <x:v>1</x:v>
      </x:c>
      <x:c r="I33" s="129" t="n">
        <x:v>2</x:v>
      </x:c>
      <x:c r="J33" s="115" t="n">
        <x:v>1</x:v>
      </x:c>
      <x:c r="K33" s="41" t="str">
        <x:v>Face-to-face</x:v>
      </x:c>
      <x:c r="L33" s="41" t="str">
        <x:v>Lectorial</x:v>
      </x:c>
      <x:c r="M33" s="41" t="str">
        <x:v>Physical</x:v>
      </x:c>
      <x:c r="N33" s="115" t="n">
        <x:v>40</x:v>
      </x:c>
      <x:c r="O33" s="98" t="str">
        <x:v>WEE FONG CHI</x:v>
      </x:c>
      <x:c r="P33" s="98" t="str">
        <x:v>EMP1010</x:v>
      </x:c>
      <x:c r="Q33" s="98"/>
      <x:c r="R33" s="98"/>
      <x:c r="S33" s="98"/>
      <x:c r="T33" s="98"/>
      <x:c r="U33" s="98"/>
      <x:c r="V33" s="41"/>
      <x:c r="W33" s="98" t="str">
        <x:v>Requirements Template_ENG.xlsx + current admin module database</x:v>
      </x:c>
      <x:c r="X33" s="143" t="n">
        <x:v>38</x:v>
      </x:c>
    </x:row>
    <x:row r="34" ht="22" customHeight="1">
      <x:c r="A34" s="65" t="str">
        <x:v>REQ-ATM-ATM3302-TUT-02</x:v>
      </x:c>
      <x:c r="B34" s="79" t="str">
        <x:v>ATM</x:v>
      </x:c>
      <x:c r="C34" s="116" t="n">
        <x:v>3</x:v>
      </x:c>
      <x:c r="D34" s="44" t="str">
        <x:v>ATM Y3 P1</x:v>
      </x:c>
      <x:c r="E34" s="87" t="str">
        <x:v>ATM3302</x:v>
      </x:c>
      <x:c r="F34" s="99" t="str">
        <x:v>ATM3302</x:v>
      </x:c>
      <x:c r="G34" s="44" t="str">
        <x:v>Tutorial</x:v>
      </x:c>
      <x:c r="H34" s="116" t="n">
        <x:v>1</x:v>
      </x:c>
      <x:c r="I34" s="126" t="n">
        <x:v>2</x:v>
      </x:c>
      <x:c r="J34" s="116" t="n">
        <x:v>1</x:v>
      </x:c>
      <x:c r="K34" s="44" t="str">
        <x:v>Face-to-face</x:v>
      </x:c>
      <x:c r="L34" s="44" t="str">
        <x:v>Seminar Room</x:v>
      </x:c>
      <x:c r="M34" s="44" t="str">
        <x:v>Physical</x:v>
      </x:c>
      <x:c r="N34" s="116" t="n">
        <x:v>40</x:v>
      </x:c>
      <x:c r="O34" s="99" t="str">
        <x:v>WEE FONG CHI</x:v>
      </x:c>
      <x:c r="P34" s="99" t="str">
        <x:v>EMP1010</x:v>
      </x:c>
      <x:c r="Q34" s="99"/>
      <x:c r="R34" s="99"/>
      <x:c r="S34" s="99"/>
      <x:c r="T34" s="99"/>
      <x:c r="U34" s="99"/>
      <x:c r="V34" s="44"/>
      <x:c r="W34" s="99" t="str">
        <x:v>Requirements Template_ENG.xlsx + current admin module database</x:v>
      </x:c>
      <x:c r="X34" s="144" t="n">
        <x:v>38</x:v>
      </x:c>
    </x:row>
    <x:row r="35" ht="22" customHeight="1">
      <x:c r="A35" s="55" t="str">
        <x:v>REQ-BAC-BAC2001-LEC-01</x:v>
      </x:c>
      <x:c r="B35" s="69" t="str">
        <x:v>BAC</x:v>
      </x:c>
      <x:c r="C35" s="106" t="n">
        <x:v>2</x:v>
      </x:c>
      <x:c r="D35" s="10" t="str">
        <x:v>BAC Y2 P1</x:v>
      </x:c>
      <x:c r="E35" s="86" t="str">
        <x:v>BAC2001</x:v>
      </x:c>
      <x:c r="F35" s="89" t="str">
        <x:v>BAC2001</x:v>
      </x:c>
      <x:c r="G35" s="10" t="str">
        <x:v>Lecture</x:v>
      </x:c>
      <x:c r="H35" s="106" t="n">
        <x:v>1</x:v>
      </x:c>
      <x:c r="I35" s="120" t="n">
        <x:v>2</x:v>
      </x:c>
      <x:c r="J35" s="106" t="n">
        <x:v>1</x:v>
      </x:c>
      <x:c r="K35" s="103" t="str">
        <x:v>Online</x:v>
      </x:c>
      <x:c r="L35" s="103" t="str">
        <x:v>Virtual</x:v>
      </x:c>
      <x:c r="M35" s="103" t="str">
        <x:v>Virtual</x:v>
      </x:c>
      <x:c r="N35" s="106" t="n">
        <x:v>40</x:v>
      </x:c>
      <x:c r="O35" s="89" t="str">
        <x:v>YANNICK VINCENT GERBER</x:v>
      </x:c>
      <x:c r="P35" s="89" t="str">
        <x:v>EMP1011</x:v>
      </x:c>
      <x:c r="Q35" s="89"/>
      <x:c r="R35" s="89"/>
      <x:c r="S35" s="89"/>
      <x:c r="T35" s="89"/>
      <x:c r="U35" s="89"/>
      <x:c r="V35" s="10"/>
      <x:c r="W35" s="89" t="str">
        <x:v>Requirements Template_ENG.xlsx + current admin module database</x:v>
      </x:c>
      <x:c r="X35" s="134" t="n">
        <x:v>41</x:v>
      </x:c>
    </x:row>
    <x:row r="36" ht="22" customHeight="1">
      <x:c r="A36" s="56" t="str">
        <x:v>REQ-BAC-BAC2001-TUT-02</x:v>
      </x:c>
      <x:c r="B36" s="70" t="str">
        <x:v>BAC</x:v>
      </x:c>
      <x:c r="C36" s="107" t="n">
        <x:v>2</x:v>
      </x:c>
      <x:c r="D36" s="13" t="str">
        <x:v>BAC Y2 P1</x:v>
      </x:c>
      <x:c r="E36" s="87" t="str">
        <x:v>BAC2001</x:v>
      </x:c>
      <x:c r="F36" s="90" t="str">
        <x:v>BAC2001</x:v>
      </x:c>
      <x:c r="G36" s="13" t="str">
        <x:v>Tutorial</x:v>
      </x:c>
      <x:c r="H36" s="107" t="n">
        <x:v>1</x:v>
      </x:c>
      <x:c r="I36" s="121" t="n">
        <x:v>2</x:v>
      </x:c>
      <x:c r="J36" s="107" t="n">
        <x:v>1</x:v>
      </x:c>
      <x:c r="K36" s="13" t="str">
        <x:v>Face-to-face</x:v>
      </x:c>
      <x:c r="L36" s="13" t="str">
        <x:v>Seminar Room</x:v>
      </x:c>
      <x:c r="M36" s="13" t="str">
        <x:v>Physical</x:v>
      </x:c>
      <x:c r="N36" s="107" t="n">
        <x:v>40</x:v>
      </x:c>
      <x:c r="O36" s="90" t="str">
        <x:v>YANNICK VINCENT GERBER</x:v>
      </x:c>
      <x:c r="P36" s="90" t="str">
        <x:v>EMP1011</x:v>
      </x:c>
      <x:c r="Q36" s="90"/>
      <x:c r="R36" s="90"/>
      <x:c r="S36" s="90"/>
      <x:c r="T36" s="90"/>
      <x:c r="U36" s="90"/>
      <x:c r="V36" s="13"/>
      <x:c r="W36" s="90" t="str">
        <x:v>Requirements Template_ENG.xlsx + current admin module database</x:v>
      </x:c>
      <x:c r="X36" s="135" t="n">
        <x:v>41</x:v>
      </x:c>
    </x:row>
    <x:row r="37" ht="22" customHeight="1">
      <x:c r="A37" s="57" t="str">
        <x:v>REQ-BAC-BAC2002-LCT-01</x:v>
      </x:c>
      <x:c r="B37" s="71" t="str">
        <x:v>BAC</x:v>
      </x:c>
      <x:c r="C37" s="108" t="n">
        <x:v>2</x:v>
      </x:c>
      <x:c r="D37" s="17" t="str">
        <x:v>BAC Y2 P1</x:v>
      </x:c>
      <x:c r="E37" s="86" t="str">
        <x:v>BAC2002</x:v>
      </x:c>
      <x:c r="F37" s="91" t="str">
        <x:v>BAC2002</x:v>
      </x:c>
      <x:c r="G37" s="17" t="str">
        <x:v>Lectorial</x:v>
      </x:c>
      <x:c r="H37" s="108" t="n">
        <x:v>1</x:v>
      </x:c>
      <x:c r="I37" s="122" t="n">
        <x:v>2</x:v>
      </x:c>
      <x:c r="J37" s="108" t="n">
        <x:v>1</x:v>
      </x:c>
      <x:c r="K37" s="17" t="str">
        <x:v>Face-to-face</x:v>
      </x:c>
      <x:c r="L37" s="17" t="str">
        <x:v>Lectorial</x:v>
      </x:c>
      <x:c r="M37" s="17" t="str">
        <x:v>Physical</x:v>
      </x:c>
      <x:c r="N37" s="108" t="n">
        <x:v>40</x:v>
      </x:c>
      <x:c r="O37" s="91" t="str">
        <x:v>AARON TAN</x:v>
      </x:c>
      <x:c r="P37" s="91" t="str">
        <x:v>EMP1012</x:v>
      </x:c>
      <x:c r="Q37" s="91"/>
      <x:c r="R37" s="91"/>
      <x:c r="S37" s="91"/>
      <x:c r="T37" s="91"/>
      <x:c r="U37" s="91"/>
      <x:c r="V37" s="17"/>
      <x:c r="W37" s="91" t="str">
        <x:v>Requirements Template_ENG.xlsx + current admin module database</x:v>
      </x:c>
      <x:c r="X37" s="136" t="n">
        <x:v>42</x:v>
      </x:c>
    </x:row>
    <x:row r="38" ht="22" customHeight="1">
      <x:c r="A38" s="58" t="str">
        <x:v>REQ-BAC-BAC2002-TUT-02</x:v>
      </x:c>
      <x:c r="B38" s="72" t="str">
        <x:v>BAC</x:v>
      </x:c>
      <x:c r="C38" s="109" t="n">
        <x:v>2</x:v>
      </x:c>
      <x:c r="D38" s="20" t="str">
        <x:v>BAC Y2 P1</x:v>
      </x:c>
      <x:c r="E38" s="87" t="str">
        <x:v>BAC2002</x:v>
      </x:c>
      <x:c r="F38" s="92" t="str">
        <x:v>BAC2002</x:v>
      </x:c>
      <x:c r="G38" s="20" t="str">
        <x:v>Tutorial</x:v>
      </x:c>
      <x:c r="H38" s="109" t="n">
        <x:v>1</x:v>
      </x:c>
      <x:c r="I38" s="123" t="n">
        <x:v>2</x:v>
      </x:c>
      <x:c r="J38" s="109" t="n">
        <x:v>1</x:v>
      </x:c>
      <x:c r="K38" s="20" t="str">
        <x:v>Face-to-face</x:v>
      </x:c>
      <x:c r="L38" s="20" t="str">
        <x:v>Seminar Room</x:v>
      </x:c>
      <x:c r="M38" s="20" t="str">
        <x:v>Physical</x:v>
      </x:c>
      <x:c r="N38" s="109" t="n">
        <x:v>40</x:v>
      </x:c>
      <x:c r="O38" s="92" t="str">
        <x:v>AARON TAN</x:v>
      </x:c>
      <x:c r="P38" s="92" t="str">
        <x:v>EMP1012</x:v>
      </x:c>
      <x:c r="Q38" s="92"/>
      <x:c r="R38" s="92"/>
      <x:c r="S38" s="92"/>
      <x:c r="T38" s="92"/>
      <x:c r="U38" s="92"/>
      <x:c r="V38" s="20"/>
      <x:c r="W38" s="92" t="str">
        <x:v>Requirements Template_ENG.xlsx + current admin module database</x:v>
      </x:c>
      <x:c r="X38" s="137" t="n">
        <x:v>42</x:v>
      </x:c>
    </x:row>
    <x:row r="39" ht="22" customHeight="1">
      <x:c r="A39" s="59" t="str">
        <x:v>REQ-BAC-BAC2005-LEC-01</x:v>
      </x:c>
      <x:c r="B39" s="73" t="str">
        <x:v>BAC</x:v>
      </x:c>
      <x:c r="C39" s="110" t="n">
        <x:v>2</x:v>
      </x:c>
      <x:c r="D39" s="24" t="str">
        <x:v>BAC Y2 P1</x:v>
      </x:c>
      <x:c r="E39" s="86" t="str">
        <x:v>BAC2005</x:v>
      </x:c>
      <x:c r="F39" s="93" t="str">
        <x:v>BAC2005</x:v>
      </x:c>
      <x:c r="G39" s="24" t="str">
        <x:v>Lecture</x:v>
      </x:c>
      <x:c r="H39" s="110" t="n">
        <x:v>1</x:v>
      </x:c>
      <x:c r="I39" s="124" t="n">
        <x:v>2</x:v>
      </x:c>
      <x:c r="J39" s="110" t="n">
        <x:v>1</x:v>
      </x:c>
      <x:c r="K39" s="24" t="str">
        <x:v>Face-to-face</x:v>
      </x:c>
      <x:c r="L39" s="24" t="str">
        <x:v>Lectorial</x:v>
      </x:c>
      <x:c r="M39" s="24" t="str">
        <x:v>Physical</x:v>
      </x:c>
      <x:c r="N39" s="110" t="n">
        <x:v>40</x:v>
      </x:c>
      <x:c r="O39" s="93" t="str">
        <x:v>AARON YEO SULUN</x:v>
      </x:c>
      <x:c r="P39" s="93" t="str">
        <x:v>EMP1013</x:v>
      </x:c>
      <x:c r="Q39" s="93"/>
      <x:c r="R39" s="93"/>
      <x:c r="S39" s="93"/>
      <x:c r="T39" s="93"/>
      <x:c r="U39" s="93"/>
      <x:c r="V39" s="24"/>
      <x:c r="W39" s="93" t="str">
        <x:v>Requirements Template_ENG.xlsx + current admin module database</x:v>
      </x:c>
      <x:c r="X39" s="138" t="n">
        <x:v>43</x:v>
      </x:c>
    </x:row>
    <x:row r="40" ht="22" customHeight="1">
      <x:c r="A40" s="60" t="str">
        <x:v>REQ-BAC-BAC2005-TUT-02</x:v>
      </x:c>
      <x:c r="B40" s="74" t="str">
        <x:v>BAC</x:v>
      </x:c>
      <x:c r="C40" s="111" t="n">
        <x:v>2</x:v>
      </x:c>
      <x:c r="D40" s="27" t="str">
        <x:v>BAC Y2 P1</x:v>
      </x:c>
      <x:c r="E40" s="88" t="str">
        <x:v>BAC2005</x:v>
      </x:c>
      <x:c r="F40" s="94" t="str">
        <x:v>BAC2005</x:v>
      </x:c>
      <x:c r="G40" s="27" t="str">
        <x:v>Tutorial</x:v>
      </x:c>
      <x:c r="H40" s="111" t="n">
        <x:v>1</x:v>
      </x:c>
      <x:c r="I40" s="125" t="n">
        <x:v>2</x:v>
      </x:c>
      <x:c r="J40" s="111" t="n">
        <x:v>1</x:v>
      </x:c>
      <x:c r="K40" s="27" t="str">
        <x:v>Face-to-face</x:v>
      </x:c>
      <x:c r="L40" s="27" t="str">
        <x:v>Seminar Room</x:v>
      </x:c>
      <x:c r="M40" s="27" t="str">
        <x:v>Physical</x:v>
      </x:c>
      <x:c r="N40" s="111" t="n">
        <x:v>40</x:v>
      </x:c>
      <x:c r="O40" s="94" t="str">
        <x:v>AARON YEO SULUN</x:v>
      </x:c>
      <x:c r="P40" s="94" t="str">
        <x:v>EMP1013</x:v>
      </x:c>
      <x:c r="Q40" s="94"/>
      <x:c r="R40" s="94"/>
      <x:c r="S40" s="94"/>
      <x:c r="T40" s="94"/>
      <x:c r="U40" s="94"/>
      <x:c r="V40" s="27"/>
      <x:c r="W40" s="94" t="str">
        <x:v>Requirements Template_ENG.xlsx + current admin module database</x:v>
      </x:c>
      <x:c r="X40" s="139" t="n">
        <x:v>43</x:v>
      </x:c>
    </x:row>
    <x:row r="41" ht="22" customHeight="1">
      <x:c r="A41" s="61" t="str">
        <x:v>REQ-BAC-BAC2005-QZ-03</x:v>
      </x:c>
      <x:c r="B41" s="75" t="str">
        <x:v>BAC</x:v>
      </x:c>
      <x:c r="C41" s="112" t="n">
        <x:v>2</x:v>
      </x:c>
      <x:c r="D41" s="30" t="str">
        <x:v>BAC Y2 P1</x:v>
      </x:c>
      <x:c r="E41" s="87" t="str">
        <x:v>BAC2005</x:v>
      </x:c>
      <x:c r="F41" s="95" t="str">
        <x:v>BAC2005</x:v>
      </x:c>
      <x:c r="G41" s="44" t="str">
        <x:v>Quiz</x:v>
      </x:c>
      <x:c r="H41" s="116" t="n">
        <x:v>1</x:v>
      </x:c>
      <x:c r="I41" s="126" t="n">
        <x:v>1</x:v>
      </x:c>
      <x:c r="J41" s="112" t="n">
        <x:v>1</x:v>
      </x:c>
      <x:c r="K41" s="30" t="str">
        <x:v>Face-to-face</x:v>
      </x:c>
      <x:c r="L41" s="30" t="str">
        <x:v>Lectorial</x:v>
      </x:c>
      <x:c r="M41" s="30" t="str">
        <x:v>Physical</x:v>
      </x:c>
      <x:c r="N41" s="112" t="n">
        <x:v>40</x:v>
      </x:c>
      <x:c r="O41" s="95" t="str">
        <x:v>AARON YEO SULUN</x:v>
      </x:c>
      <x:c r="P41" s="95" t="str">
        <x:v>EMP1013</x:v>
      </x:c>
      <x:c r="Q41" s="95"/>
      <x:c r="R41" s="95"/>
      <x:c r="S41" s="95"/>
      <x:c r="T41" s="95"/>
      <x:c r="U41" s="95"/>
      <x:c r="V41" s="30"/>
      <x:c r="W41" s="95" t="str">
        <x:v>Requirements Template_ENG.xlsx + current admin module database</x:v>
      </x:c>
      <x:c r="X41" s="140" t="n">
        <x:v>43</x:v>
      </x:c>
    </x:row>
    <x:row r="42" ht="22" customHeight="1">
      <x:c r="A42" s="62" t="str">
        <x:v>REQ-BAC-BAC3003A-WKS-01</x:v>
      </x:c>
      <x:c r="B42" s="76" t="str">
        <x:v>BAC</x:v>
      </x:c>
      <x:c r="C42" s="113" t="n">
        <x:v>3</x:v>
      </x:c>
      <x:c r="D42" s="34" t="str">
        <x:v>BAC Y3 P1</x:v>
      </x:c>
      <x:c r="E42" s="86" t="str">
        <x:v>BAC3003A</x:v>
      </x:c>
      <x:c r="F42" s="96" t="str">
        <x:v>BAC3003A</x:v>
      </x:c>
      <x:c r="G42" s="34" t="str">
        <x:v>Workshop</x:v>
      </x:c>
      <x:c r="H42" s="113" t="n">
        <x:v>1</x:v>
      </x:c>
      <x:c r="I42" s="127" t="n">
        <x:v>3</x:v>
      </x:c>
      <x:c r="J42" s="113" t="n">
        <x:v>1</x:v>
      </x:c>
      <x:c r="K42" s="34" t="str">
        <x:v>Face-to-face</x:v>
      </x:c>
      <x:c r="L42" s="34" t="str">
        <x:v>Seminar Room</x:v>
      </x:c>
      <x:c r="M42" s="34" t="str">
        <x:v>Physical</x:v>
      </x:c>
      <x:c r="N42" s="113" t="n">
        <x:v>40</x:v>
      </x:c>
      <x:c r="O42" s="96" t="str">
        <x:v>ABDUL HAMID BIN ABDULLAH</x:v>
      </x:c>
      <x:c r="P42" s="96" t="str">
        <x:v>EMP1014</x:v>
      </x:c>
      <x:c r="Q42" s="96"/>
      <x:c r="R42" s="96"/>
      <x:c r="S42" s="96"/>
      <x:c r="T42" s="96"/>
      <x:c r="U42" s="96"/>
      <x:c r="V42" s="34"/>
      <x:c r="W42" s="96" t="str">
        <x:v>Requirements Template_ENG.xlsx + current admin module database</x:v>
      </x:c>
      <x:c r="X42" s="141" t="n">
        <x:v>44</x:v>
      </x:c>
    </x:row>
    <x:row r="43" ht="22" customHeight="1">
      <x:c r="A43" s="63" t="str">
        <x:v>REQ-BAC-BAC3003A-SEM-02</x:v>
      </x:c>
      <x:c r="B43" s="77" t="str">
        <x:v>BAC</x:v>
      </x:c>
      <x:c r="C43" s="114" t="n">
        <x:v>3</x:v>
      </x:c>
      <x:c r="D43" s="37" t="str">
        <x:v>BAC Y3 P1</x:v>
      </x:c>
      <x:c r="E43" s="87" t="str">
        <x:v>BAC3003A</x:v>
      </x:c>
      <x:c r="F43" s="97" t="str">
        <x:v>BAC3003A</x:v>
      </x:c>
      <x:c r="G43" s="37" t="str">
        <x:v>Seminar</x:v>
      </x:c>
      <x:c r="H43" s="114" t="n">
        <x:v>1</x:v>
      </x:c>
      <x:c r="I43" s="128" t="n">
        <x:v>2</x:v>
      </x:c>
      <x:c r="J43" s="114" t="n">
        <x:v>1</x:v>
      </x:c>
      <x:c r="K43" s="37" t="str">
        <x:v>Face-to-face</x:v>
      </x:c>
      <x:c r="L43" s="37" t="str">
        <x:v>Seminar Room</x:v>
      </x:c>
      <x:c r="M43" s="37" t="str">
        <x:v>Physical</x:v>
      </x:c>
      <x:c r="N43" s="114" t="n">
        <x:v>40</x:v>
      </x:c>
      <x:c r="O43" s="97" t="str">
        <x:v>ABDUL HAMID BIN ABDULLAH</x:v>
      </x:c>
      <x:c r="P43" s="97" t="str">
        <x:v>EMP1014</x:v>
      </x:c>
      <x:c r="Q43" s="97"/>
      <x:c r="R43" s="97"/>
      <x:c r="S43" s="97"/>
      <x:c r="T43" s="97"/>
      <x:c r="U43" s="97"/>
      <x:c r="V43" s="37"/>
      <x:c r="W43" s="97" t="str">
        <x:v>Requirements Template_ENG.xlsx + current admin module database</x:v>
      </x:c>
      <x:c r="X43" s="142" t="n">
        <x:v>44</x:v>
      </x:c>
    </x:row>
    <x:row r="44" ht="22" customHeight="1">
      <x:c r="A44" s="64" t="str">
        <x:v>REQ-BAC-BAC3004-LEC-01</x:v>
      </x:c>
      <x:c r="B44" s="78" t="str">
        <x:v>BAC</x:v>
      </x:c>
      <x:c r="C44" s="115" t="n">
        <x:v>3</x:v>
      </x:c>
      <x:c r="D44" s="41" t="str">
        <x:v>BAC Y3 P1</x:v>
      </x:c>
      <x:c r="E44" s="86" t="str">
        <x:v>BAC3004</x:v>
      </x:c>
      <x:c r="F44" s="98" t="str">
        <x:v>BAC3004</x:v>
      </x:c>
      <x:c r="G44" s="41" t="str">
        <x:v>Lecture</x:v>
      </x:c>
      <x:c r="H44" s="115" t="n">
        <x:v>1</x:v>
      </x:c>
      <x:c r="I44" s="129" t="n">
        <x:v>2</x:v>
      </x:c>
      <x:c r="J44" s="115" t="n">
        <x:v>1</x:v>
      </x:c>
      <x:c r="K44" s="41" t="str">
        <x:v>Face-to-face</x:v>
      </x:c>
      <x:c r="L44" s="41" t="str">
        <x:v>Lectorial</x:v>
      </x:c>
      <x:c r="M44" s="41" t="str">
        <x:v>Physical</x:v>
      </x:c>
      <x:c r="N44" s="115" t="n">
        <x:v>40</x:v>
      </x:c>
      <x:c r="O44" s="98" t="str">
        <x:v>ABDUL JABBAR ABDULLAH</x:v>
      </x:c>
      <x:c r="P44" s="98" t="str">
        <x:v>EMP1015</x:v>
      </x:c>
      <x:c r="Q44" s="98"/>
      <x:c r="R44" s="98"/>
      <x:c r="S44" s="98"/>
      <x:c r="T44" s="98"/>
      <x:c r="U44" s="98"/>
      <x:c r="V44" s="41"/>
      <x:c r="W44" s="98" t="str">
        <x:v>Requirements Template_ENG.xlsx + current admin module database</x:v>
      </x:c>
      <x:c r="X44" s="143" t="n">
        <x:v>46</x:v>
      </x:c>
    </x:row>
    <x:row r="45" ht="22" customHeight="1">
      <x:c r="A45" s="65" t="str">
        <x:v>REQ-BAC-BAC3004-TUT-02</x:v>
      </x:c>
      <x:c r="B45" s="79" t="str">
        <x:v>BAC</x:v>
      </x:c>
      <x:c r="C45" s="116" t="n">
        <x:v>3</x:v>
      </x:c>
      <x:c r="D45" s="44" t="str">
        <x:v>BAC Y3 P1</x:v>
      </x:c>
      <x:c r="E45" s="87" t="str">
        <x:v>BAC3004</x:v>
      </x:c>
      <x:c r="F45" s="99" t="str">
        <x:v>BAC3004</x:v>
      </x:c>
      <x:c r="G45" s="44" t="str">
        <x:v>Tutorial</x:v>
      </x:c>
      <x:c r="H45" s="116" t="n">
        <x:v>1</x:v>
      </x:c>
      <x:c r="I45" s="126" t="n">
        <x:v>2</x:v>
      </x:c>
      <x:c r="J45" s="116" t="n">
        <x:v>1</x:v>
      </x:c>
      <x:c r="K45" s="44" t="str">
        <x:v>Face-to-face</x:v>
      </x:c>
      <x:c r="L45" s="44" t="str">
        <x:v>Seminar Room</x:v>
      </x:c>
      <x:c r="M45" s="44" t="str">
        <x:v>Physical</x:v>
      </x:c>
      <x:c r="N45" s="116" t="n">
        <x:v>40</x:v>
      </x:c>
      <x:c r="O45" s="99" t="str">
        <x:v>ABDUL JABBAR ABDULLAH</x:v>
      </x:c>
      <x:c r="P45" s="99" t="str">
        <x:v>EMP1015</x:v>
      </x:c>
      <x:c r="Q45" s="99"/>
      <x:c r="R45" s="99"/>
      <x:c r="S45" s="99"/>
      <x:c r="T45" s="99"/>
      <x:c r="U45" s="99"/>
      <x:c r="V45" s="44"/>
      <x:c r="W45" s="99" t="str">
        <x:v>Requirements Template_ENG.xlsx + current admin module database</x:v>
      </x:c>
      <x:c r="X45" s="144" t="n">
        <x:v>46</x:v>
      </x:c>
    </x:row>
    <x:row r="46" ht="22" customHeight="1">
      <x:c r="A46" s="55" t="str">
        <x:v>REQ-CDM-DCM1011-LEC-01</x:v>
      </x:c>
      <x:c r="B46" s="69" t="str">
        <x:v>CDM</x:v>
      </x:c>
      <x:c r="C46" s="106" t="n">
        <x:v>1</x:v>
      </x:c>
      <x:c r="D46" s="10" t="str">
        <x:v>CDM Y1 P1</x:v>
      </x:c>
      <x:c r="E46" s="86" t="str">
        <x:v>DCM1011</x:v>
      </x:c>
      <x:c r="F46" s="89" t="str">
        <x:v>DCM1011</x:v>
      </x:c>
      <x:c r="G46" s="10" t="str">
        <x:v>Lecture</x:v>
      </x:c>
      <x:c r="H46" s="106" t="n">
        <x:v>1</x:v>
      </x:c>
      <x:c r="I46" s="120" t="n">
        <x:v>2</x:v>
      </x:c>
      <x:c r="J46" s="106" t="n">
        <x:v>1</x:v>
      </x:c>
      <x:c r="K46" s="103" t="str">
        <x:v>Online</x:v>
      </x:c>
      <x:c r="L46" s="103" t="str">
        <x:v>Virtual</x:v>
      </x:c>
      <x:c r="M46" s="103" t="str">
        <x:v>Virtual</x:v>
      </x:c>
      <x:c r="N46" s="106" t="n">
        <x:v>40</x:v>
      </x:c>
      <x:c r="O46" s="89" t="str">
        <x:v>ABEL TAN</x:v>
      </x:c>
      <x:c r="P46" s="89" t="str">
        <x:v>EMP1016</x:v>
      </x:c>
      <x:c r="Q46" s="89"/>
      <x:c r="R46" s="89"/>
      <x:c r="S46" s="89"/>
      <x:c r="T46" s="89"/>
      <x:c r="U46" s="89"/>
      <x:c r="V46" s="10"/>
      <x:c r="W46" s="89" t="str">
        <x:v>Requirements Template_ENG.xlsx + current admin module database</x:v>
      </x:c>
      <x:c r="X46" s="134" t="n">
        <x:v>150</x:v>
      </x:c>
    </x:row>
    <x:row r="47" ht="22" customHeight="1">
      <x:c r="A47" s="56" t="str">
        <x:v>REQ-CDM-DCM1011-TUT-02</x:v>
      </x:c>
      <x:c r="B47" s="70" t="str">
        <x:v>CDM</x:v>
      </x:c>
      <x:c r="C47" s="107" t="n">
        <x:v>1</x:v>
      </x:c>
      <x:c r="D47" s="13" t="str">
        <x:v>CDM Y1 P1</x:v>
      </x:c>
      <x:c r="E47" s="87" t="str">
        <x:v>DCM1011</x:v>
      </x:c>
      <x:c r="F47" s="90" t="str">
        <x:v>DCM1011</x:v>
      </x:c>
      <x:c r="G47" s="13" t="str">
        <x:v>Tutorial</x:v>
      </x:c>
      <x:c r="H47" s="107" t="n">
        <x:v>1</x:v>
      </x:c>
      <x:c r="I47" s="121" t="n">
        <x:v>2</x:v>
      </x:c>
      <x:c r="J47" s="107" t="n">
        <x:v>1</x:v>
      </x:c>
      <x:c r="K47" s="13" t="str">
        <x:v>Face-to-face</x:v>
      </x:c>
      <x:c r="L47" s="13" t="str">
        <x:v>Seminar Room</x:v>
      </x:c>
      <x:c r="M47" s="13" t="str">
        <x:v>Physical</x:v>
      </x:c>
      <x:c r="N47" s="107" t="n">
        <x:v>40</x:v>
      </x:c>
      <x:c r="O47" s="90" t="str">
        <x:v>ABEL TAN</x:v>
      </x:c>
      <x:c r="P47" s="90" t="str">
        <x:v>EMP1016</x:v>
      </x:c>
      <x:c r="Q47" s="90"/>
      <x:c r="R47" s="90"/>
      <x:c r="S47" s="90"/>
      <x:c r="T47" s="90"/>
      <x:c r="U47" s="90"/>
      <x:c r="V47" s="13"/>
      <x:c r="W47" s="90" t="str">
        <x:v>Requirements Template_ENG.xlsx + current admin module database</x:v>
      </x:c>
      <x:c r="X47" s="135" t="n">
        <x:v>150</x:v>
      </x:c>
    </x:row>
    <x:row r="48" ht="22" customHeight="1">
      <x:c r="A48" s="57" t="str">
        <x:v>REQ-CDM-DCM1021-LCT-01</x:v>
      </x:c>
      <x:c r="B48" s="71" t="str">
        <x:v>CDM</x:v>
      </x:c>
      <x:c r="C48" s="108" t="n">
        <x:v>1</x:v>
      </x:c>
      <x:c r="D48" s="17" t="str">
        <x:v>CDM Y1 P1</x:v>
      </x:c>
      <x:c r="E48" s="86" t="str">
        <x:v>DCM1021</x:v>
      </x:c>
      <x:c r="F48" s="91" t="str">
        <x:v>DCM1021</x:v>
      </x:c>
      <x:c r="G48" s="17" t="str">
        <x:v>Lectorial</x:v>
      </x:c>
      <x:c r="H48" s="108" t="n">
        <x:v>1</x:v>
      </x:c>
      <x:c r="I48" s="122" t="n">
        <x:v>2</x:v>
      </x:c>
      <x:c r="J48" s="108" t="n">
        <x:v>1</x:v>
      </x:c>
      <x:c r="K48" s="17" t="str">
        <x:v>Face-to-face</x:v>
      </x:c>
      <x:c r="L48" s="17" t="str">
        <x:v>Lectorial</x:v>
      </x:c>
      <x:c r="M48" s="17" t="str">
        <x:v>Physical</x:v>
      </x:c>
      <x:c r="N48" s="108" t="n">
        <x:v>40</x:v>
      </x:c>
      <x:c r="O48" s="91" t="str">
        <x:v>ABI SAN</x:v>
      </x:c>
      <x:c r="P48" s="91" t="str">
        <x:v>EMP1017</x:v>
      </x:c>
      <x:c r="Q48" s="91"/>
      <x:c r="R48" s="91"/>
      <x:c r="S48" s="91"/>
      <x:c r="T48" s="91"/>
      <x:c r="U48" s="91"/>
      <x:c r="V48" s="17"/>
      <x:c r="W48" s="91" t="str">
        <x:v>Requirements Template_ENG.xlsx + current admin module database</x:v>
      </x:c>
      <x:c r="X48" s="136" t="n">
        <x:v>151</x:v>
      </x:c>
    </x:row>
    <x:row r="49" ht="22" customHeight="1">
      <x:c r="A49" s="58" t="str">
        <x:v>REQ-CDM-DCM1021-TUT-02</x:v>
      </x:c>
      <x:c r="B49" s="72" t="str">
        <x:v>CDM</x:v>
      </x:c>
      <x:c r="C49" s="109" t="n">
        <x:v>1</x:v>
      </x:c>
      <x:c r="D49" s="20" t="str">
        <x:v>CDM Y1 P1</x:v>
      </x:c>
      <x:c r="E49" s="87" t="str">
        <x:v>DCM1021</x:v>
      </x:c>
      <x:c r="F49" s="92" t="str">
        <x:v>DCM1021</x:v>
      </x:c>
      <x:c r="G49" s="20" t="str">
        <x:v>Tutorial</x:v>
      </x:c>
      <x:c r="H49" s="109" t="n">
        <x:v>1</x:v>
      </x:c>
      <x:c r="I49" s="123" t="n">
        <x:v>2</x:v>
      </x:c>
      <x:c r="J49" s="109" t="n">
        <x:v>1</x:v>
      </x:c>
      <x:c r="K49" s="20" t="str">
        <x:v>Face-to-face</x:v>
      </x:c>
      <x:c r="L49" s="20" t="str">
        <x:v>Seminar Room</x:v>
      </x:c>
      <x:c r="M49" s="20" t="str">
        <x:v>Physical</x:v>
      </x:c>
      <x:c r="N49" s="109" t="n">
        <x:v>40</x:v>
      </x:c>
      <x:c r="O49" s="92" t="str">
        <x:v>ABI SAN</x:v>
      </x:c>
      <x:c r="P49" s="92" t="str">
        <x:v>EMP1017</x:v>
      </x:c>
      <x:c r="Q49" s="92"/>
      <x:c r="R49" s="92"/>
      <x:c r="S49" s="92"/>
      <x:c r="T49" s="92"/>
      <x:c r="U49" s="92"/>
      <x:c r="V49" s="20"/>
      <x:c r="W49" s="92" t="str">
        <x:v>Requirements Template_ENG.xlsx + current admin module database</x:v>
      </x:c>
      <x:c r="X49" s="137" t="n">
        <x:v>151</x:v>
      </x:c>
    </x:row>
    <x:row r="50" ht="22" customHeight="1">
      <x:c r="A50" s="59" t="str">
        <x:v>REQ-CDM-DCM1032-LEC-01</x:v>
      </x:c>
      <x:c r="B50" s="73" t="str">
        <x:v>CDM</x:v>
      </x:c>
      <x:c r="C50" s="110" t="n">
        <x:v>1</x:v>
      </x:c>
      <x:c r="D50" s="24" t="str">
        <x:v>CDM Y1 P1</x:v>
      </x:c>
      <x:c r="E50" s="86" t="str">
        <x:v>DCM1032</x:v>
      </x:c>
      <x:c r="F50" s="93" t="str">
        <x:v>DCM1032</x:v>
      </x:c>
      <x:c r="G50" s="24" t="str">
        <x:v>Lecture</x:v>
      </x:c>
      <x:c r="H50" s="110" t="n">
        <x:v>1</x:v>
      </x:c>
      <x:c r="I50" s="124" t="n">
        <x:v>2</x:v>
      </x:c>
      <x:c r="J50" s="110" t="n">
        <x:v>1</x:v>
      </x:c>
      <x:c r="K50" s="24" t="str">
        <x:v>Face-to-face</x:v>
      </x:c>
      <x:c r="L50" s="24" t="str">
        <x:v>Lectorial</x:v>
      </x:c>
      <x:c r="M50" s="24" t="str">
        <x:v>Physical</x:v>
      </x:c>
      <x:c r="N50" s="110" t="n">
        <x:v>40</x:v>
      </x:c>
      <x:c r="O50" s="93" t="str">
        <x:v>ABID ALI</x:v>
      </x:c>
      <x:c r="P50" s="93" t="str">
        <x:v>EMP1018</x:v>
      </x:c>
      <x:c r="Q50" s="93"/>
      <x:c r="R50" s="93"/>
      <x:c r="S50" s="93"/>
      <x:c r="T50" s="93"/>
      <x:c r="U50" s="93"/>
      <x:c r="V50" s="24"/>
      <x:c r="W50" s="93" t="str">
        <x:v>Requirements Template_ENG.xlsx + current admin module database</x:v>
      </x:c>
      <x:c r="X50" s="138" t="n">
        <x:v>152</x:v>
      </x:c>
    </x:row>
    <x:row r="51" ht="22" customHeight="1">
      <x:c r="A51" s="60" t="str">
        <x:v>REQ-CDM-DCM1032-TUT-02</x:v>
      </x:c>
      <x:c r="B51" s="74" t="str">
        <x:v>CDM</x:v>
      </x:c>
      <x:c r="C51" s="111" t="n">
        <x:v>1</x:v>
      </x:c>
      <x:c r="D51" s="27" t="str">
        <x:v>CDM Y1 P1</x:v>
      </x:c>
      <x:c r="E51" s="88" t="str">
        <x:v>DCM1032</x:v>
      </x:c>
      <x:c r="F51" s="94" t="str">
        <x:v>DCM1032</x:v>
      </x:c>
      <x:c r="G51" s="27" t="str">
        <x:v>Tutorial</x:v>
      </x:c>
      <x:c r="H51" s="111" t="n">
        <x:v>1</x:v>
      </x:c>
      <x:c r="I51" s="125" t="n">
        <x:v>2</x:v>
      </x:c>
      <x:c r="J51" s="111" t="n">
        <x:v>1</x:v>
      </x:c>
      <x:c r="K51" s="27" t="str">
        <x:v>Face-to-face</x:v>
      </x:c>
      <x:c r="L51" s="27" t="str">
        <x:v>Seminar Room</x:v>
      </x:c>
      <x:c r="M51" s="27" t="str">
        <x:v>Physical</x:v>
      </x:c>
      <x:c r="N51" s="111" t="n">
        <x:v>40</x:v>
      </x:c>
      <x:c r="O51" s="94" t="str">
        <x:v>ABID ALI</x:v>
      </x:c>
      <x:c r="P51" s="94" t="str">
        <x:v>EMP1018</x:v>
      </x:c>
      <x:c r="Q51" s="94"/>
      <x:c r="R51" s="94"/>
      <x:c r="S51" s="94"/>
      <x:c r="T51" s="94"/>
      <x:c r="U51" s="94"/>
      <x:c r="V51" s="27"/>
      <x:c r="W51" s="94" t="str">
        <x:v>Requirements Template_ENG.xlsx + current admin module database</x:v>
      </x:c>
      <x:c r="X51" s="139" t="n">
        <x:v>152</x:v>
      </x:c>
    </x:row>
    <x:row r="52" ht="22" customHeight="1">
      <x:c r="A52" s="61" t="str">
        <x:v>REQ-CDM-DCM1032-QZ-03</x:v>
      </x:c>
      <x:c r="B52" s="75" t="str">
        <x:v>CDM</x:v>
      </x:c>
      <x:c r="C52" s="112" t="n">
        <x:v>1</x:v>
      </x:c>
      <x:c r="D52" s="30" t="str">
        <x:v>CDM Y1 P1</x:v>
      </x:c>
      <x:c r="E52" s="87" t="str">
        <x:v>DCM1032</x:v>
      </x:c>
      <x:c r="F52" s="95" t="str">
        <x:v>DCM1032</x:v>
      </x:c>
      <x:c r="G52" s="44" t="str">
        <x:v>Quiz</x:v>
      </x:c>
      <x:c r="H52" s="116" t="n">
        <x:v>1</x:v>
      </x:c>
      <x:c r="I52" s="126" t="n">
        <x:v>1</x:v>
      </x:c>
      <x:c r="J52" s="112" t="n">
        <x:v>1</x:v>
      </x:c>
      <x:c r="K52" s="30" t="str">
        <x:v>Face-to-face</x:v>
      </x:c>
      <x:c r="L52" s="30" t="str">
        <x:v>Lectorial</x:v>
      </x:c>
      <x:c r="M52" s="30" t="str">
        <x:v>Physical</x:v>
      </x:c>
      <x:c r="N52" s="112" t="n">
        <x:v>40</x:v>
      </x:c>
      <x:c r="O52" s="95" t="str">
        <x:v>ABID ALI</x:v>
      </x:c>
      <x:c r="P52" s="95" t="str">
        <x:v>EMP1018</x:v>
      </x:c>
      <x:c r="Q52" s="95"/>
      <x:c r="R52" s="95"/>
      <x:c r="S52" s="95"/>
      <x:c r="T52" s="95"/>
      <x:c r="U52" s="95"/>
      <x:c r="V52" s="30"/>
      <x:c r="W52" s="95" t="str">
        <x:v>Requirements Template_ENG.xlsx + current admin module database</x:v>
      </x:c>
      <x:c r="X52" s="140" t="n">
        <x:v>152</x:v>
      </x:c>
    </x:row>
    <x:row r="53" ht="22" customHeight="1">
      <x:c r="A53" s="62" t="str">
        <x:v>REQ-CDM-DCM1033-WKS-01</x:v>
      </x:c>
      <x:c r="B53" s="76" t="str">
        <x:v>CDM</x:v>
      </x:c>
      <x:c r="C53" s="113" t="n">
        <x:v>1</x:v>
      </x:c>
      <x:c r="D53" s="34" t="str">
        <x:v>CDM Y1 P1</x:v>
      </x:c>
      <x:c r="E53" s="86" t="str">
        <x:v>DCM1033</x:v>
      </x:c>
      <x:c r="F53" s="96" t="str">
        <x:v>DCM1033</x:v>
      </x:c>
      <x:c r="G53" s="34" t="str">
        <x:v>Workshop</x:v>
      </x:c>
      <x:c r="H53" s="113" t="n">
        <x:v>1</x:v>
      </x:c>
      <x:c r="I53" s="127" t="n">
        <x:v>3</x:v>
      </x:c>
      <x:c r="J53" s="113" t="n">
        <x:v>1</x:v>
      </x:c>
      <x:c r="K53" s="34" t="str">
        <x:v>Face-to-face</x:v>
      </x:c>
      <x:c r="L53" s="34" t="str">
        <x:v>Seminar Room</x:v>
      </x:c>
      <x:c r="M53" s="34" t="str">
        <x:v>Physical</x:v>
      </x:c>
      <x:c r="N53" s="113" t="n">
        <x:v>40</x:v>
      </x:c>
      <x:c r="O53" s="96" t="str">
        <x:v>ABIGAIL ELIZABETH ROCHE</x:v>
      </x:c>
      <x:c r="P53" s="96" t="str">
        <x:v>EMP1019</x:v>
      </x:c>
      <x:c r="Q53" s="96"/>
      <x:c r="R53" s="96"/>
      <x:c r="S53" s="96"/>
      <x:c r="T53" s="96"/>
      <x:c r="U53" s="96"/>
      <x:c r="V53" s="34"/>
      <x:c r="W53" s="96" t="str">
        <x:v>Requirements Template_ENG.xlsx + current admin module database</x:v>
      </x:c>
      <x:c r="X53" s="141" t="n">
        <x:v>153</x:v>
      </x:c>
    </x:row>
    <x:row r="54" ht="22" customHeight="1">
      <x:c r="A54" s="63" t="str">
        <x:v>REQ-CDM-DCM1033-SEM-02</x:v>
      </x:c>
      <x:c r="B54" s="77" t="str">
        <x:v>CDM</x:v>
      </x:c>
      <x:c r="C54" s="114" t="n">
        <x:v>1</x:v>
      </x:c>
      <x:c r="D54" s="37" t="str">
        <x:v>CDM Y1 P1</x:v>
      </x:c>
      <x:c r="E54" s="87" t="str">
        <x:v>DCM1033</x:v>
      </x:c>
      <x:c r="F54" s="97" t="str">
        <x:v>DCM1033</x:v>
      </x:c>
      <x:c r="G54" s="37" t="str">
        <x:v>Seminar</x:v>
      </x:c>
      <x:c r="H54" s="114" t="n">
        <x:v>1</x:v>
      </x:c>
      <x:c r="I54" s="128" t="n">
        <x:v>2</x:v>
      </x:c>
      <x:c r="J54" s="114" t="n">
        <x:v>1</x:v>
      </x:c>
      <x:c r="K54" s="37" t="str">
        <x:v>Face-to-face</x:v>
      </x:c>
      <x:c r="L54" s="37" t="str">
        <x:v>Seminar Room</x:v>
      </x:c>
      <x:c r="M54" s="37" t="str">
        <x:v>Physical</x:v>
      </x:c>
      <x:c r="N54" s="114" t="n">
        <x:v>40</x:v>
      </x:c>
      <x:c r="O54" s="97" t="str">
        <x:v>ABIGAIL ELIZABETH ROCHE</x:v>
      </x:c>
      <x:c r="P54" s="97" t="str">
        <x:v>EMP1019</x:v>
      </x:c>
      <x:c r="Q54" s="97"/>
      <x:c r="R54" s="97"/>
      <x:c r="S54" s="97"/>
      <x:c r="T54" s="97"/>
      <x:c r="U54" s="97"/>
      <x:c r="V54" s="37"/>
      <x:c r="W54" s="97" t="str">
        <x:v>Requirements Template_ENG.xlsx + current admin module database</x:v>
      </x:c>
      <x:c r="X54" s="142" t="n">
        <x:v>153</x:v>
      </x:c>
    </x:row>
    <x:row r="55" ht="22" customHeight="1">
      <x:c r="A55" s="64" t="str">
        <x:v>REQ-CDM-DCM2001-LEC-01</x:v>
      </x:c>
      <x:c r="B55" s="78" t="str">
        <x:v>CDM</x:v>
      </x:c>
      <x:c r="C55" s="115" t="n">
        <x:v>2</x:v>
      </x:c>
      <x:c r="D55" s="41" t="str">
        <x:v>CDM Y2 P1</x:v>
      </x:c>
      <x:c r="E55" s="86" t="str">
        <x:v>DCM2001</x:v>
      </x:c>
      <x:c r="F55" s="98" t="str">
        <x:v>DCM2001</x:v>
      </x:c>
      <x:c r="G55" s="41" t="str">
        <x:v>Lecture</x:v>
      </x:c>
      <x:c r="H55" s="115" t="n">
        <x:v>1</x:v>
      </x:c>
      <x:c r="I55" s="129" t="n">
        <x:v>2</x:v>
      </x:c>
      <x:c r="J55" s="115" t="n">
        <x:v>1</x:v>
      </x:c>
      <x:c r="K55" s="41" t="str">
        <x:v>Face-to-face</x:v>
      </x:c>
      <x:c r="L55" s="41" t="str">
        <x:v>Lectorial</x:v>
      </x:c>
      <x:c r="M55" s="41" t="str">
        <x:v>Physical</x:v>
      </x:c>
      <x:c r="N55" s="115" t="n">
        <x:v>40</x:v>
      </x:c>
      <x:c r="O55" s="98" t="str">
        <x:v>ABROL AKSHITA</x:v>
      </x:c>
      <x:c r="P55" s="98" t="str">
        <x:v>EMP1020</x:v>
      </x:c>
      <x:c r="Q55" s="98"/>
      <x:c r="R55" s="98"/>
      <x:c r="S55" s="98"/>
      <x:c r="T55" s="98"/>
      <x:c r="U55" s="98"/>
      <x:c r="V55" s="41"/>
      <x:c r="W55" s="98" t="str">
        <x:v>Requirements Template_ENG.xlsx + current admin module database</x:v>
      </x:c>
      <x:c r="X55" s="143" t="n">
        <x:v>154</x:v>
      </x:c>
    </x:row>
    <x:row r="56" ht="22" customHeight="1">
      <x:c r="A56" s="65" t="str">
        <x:v>REQ-CDM-DCM2001-TUT-02</x:v>
      </x:c>
      <x:c r="B56" s="79" t="str">
        <x:v>CDM</x:v>
      </x:c>
      <x:c r="C56" s="116" t="n">
        <x:v>2</x:v>
      </x:c>
      <x:c r="D56" s="44" t="str">
        <x:v>CDM Y2 P1</x:v>
      </x:c>
      <x:c r="E56" s="87" t="str">
        <x:v>DCM2001</x:v>
      </x:c>
      <x:c r="F56" s="99" t="str">
        <x:v>DCM2001</x:v>
      </x:c>
      <x:c r="G56" s="44" t="str">
        <x:v>Tutorial</x:v>
      </x:c>
      <x:c r="H56" s="116" t="n">
        <x:v>1</x:v>
      </x:c>
      <x:c r="I56" s="126" t="n">
        <x:v>2</x:v>
      </x:c>
      <x:c r="J56" s="116" t="n">
        <x:v>1</x:v>
      </x:c>
      <x:c r="K56" s="44" t="str">
        <x:v>Face-to-face</x:v>
      </x:c>
      <x:c r="L56" s="44" t="str">
        <x:v>Seminar Room</x:v>
      </x:c>
      <x:c r="M56" s="44" t="str">
        <x:v>Physical</x:v>
      </x:c>
      <x:c r="N56" s="116" t="n">
        <x:v>40</x:v>
      </x:c>
      <x:c r="O56" s="99" t="str">
        <x:v>ABROL AKSHITA</x:v>
      </x:c>
      <x:c r="P56" s="99" t="str">
        <x:v>EMP1020</x:v>
      </x:c>
      <x:c r="Q56" s="99"/>
      <x:c r="R56" s="99"/>
      <x:c r="S56" s="99"/>
      <x:c r="T56" s="99"/>
      <x:c r="U56" s="99"/>
      <x:c r="V56" s="44"/>
      <x:c r="W56" s="99" t="str">
        <x:v>Requirements Template_ENG.xlsx + current admin module database</x:v>
      </x:c>
      <x:c r="X56" s="144" t="n">
        <x:v>154</x:v>
      </x:c>
    </x:row>
    <x:row r="57" ht="22" customHeight="1">
      <x:c r="A57" s="55" t="str">
        <x:v>REQ-CEG-CEG1007-LEC-01</x:v>
      </x:c>
      <x:c r="B57" s="69" t="str">
        <x:v>CEG</x:v>
      </x:c>
      <x:c r="C57" s="106" t="n">
        <x:v>1</x:v>
      </x:c>
      <x:c r="D57" s="10" t="str">
        <x:v>CEG Y1 P1</x:v>
      </x:c>
      <x:c r="E57" s="86" t="str">
        <x:v>CEG1007</x:v>
      </x:c>
      <x:c r="F57" s="89" t="str">
        <x:v>CEG1007</x:v>
      </x:c>
      <x:c r="G57" s="10" t="str">
        <x:v>Lecture</x:v>
      </x:c>
      <x:c r="H57" s="106" t="n">
        <x:v>1</x:v>
      </x:c>
      <x:c r="I57" s="120" t="n">
        <x:v>2</x:v>
      </x:c>
      <x:c r="J57" s="106" t="n">
        <x:v>1</x:v>
      </x:c>
      <x:c r="K57" s="103" t="str">
        <x:v>Online</x:v>
      </x:c>
      <x:c r="L57" s="103" t="str">
        <x:v>Virtual</x:v>
      </x:c>
      <x:c r="M57" s="103" t="str">
        <x:v>Virtual</x:v>
      </x:c>
      <x:c r="N57" s="106" t="n">
        <x:v>40</x:v>
      </x:c>
      <x:c r="O57" s="89" t="str">
        <x:v>PEI YIYANG</x:v>
      </x:c>
      <x:c r="P57" s="89" t="str">
        <x:v>EMP2520</x:v>
      </x:c>
      <x:c r="Q57" s="89"/>
      <x:c r="R57" s="89"/>
      <x:c r="S57" s="89"/>
      <x:c r="T57" s="89"/>
      <x:c r="U57" s="89"/>
      <x:c r="V57" s="10"/>
      <x:c r="W57" s="89" t="str">
        <x:v>Requirements Template_ENG.xlsx</x:v>
      </x:c>
      <x:c r="X57" s="134" t="n">
        <x:v>7</x:v>
      </x:c>
    </x:row>
    <x:row r="58" ht="22" customHeight="1">
      <x:c r="A58" s="66" t="str">
        <x:v>REQ-CEG-CEG1007-TUT-02</x:v>
      </x:c>
      <x:c r="B58" s="80" t="str">
        <x:v>CEG</x:v>
      </x:c>
      <x:c r="C58" s="117" t="n">
        <x:v>1</x:v>
      </x:c>
      <x:c r="D58" s="47" t="str">
        <x:v>CEG Y1 P1</x:v>
      </x:c>
      <x:c r="E58" s="88" t="str">
        <x:v>CEG1007</x:v>
      </x:c>
      <x:c r="F58" s="100" t="str">
        <x:v>CEG1007</x:v>
      </x:c>
      <x:c r="G58" s="47" t="str">
        <x:v>Tutorial</x:v>
      </x:c>
      <x:c r="H58" s="117" t="n">
        <x:v>1</x:v>
      </x:c>
      <x:c r="I58" s="130" t="n">
        <x:v>2</x:v>
      </x:c>
      <x:c r="J58" s="117" t="n">
        <x:v>1</x:v>
      </x:c>
      <x:c r="K58" s="47" t="str">
        <x:v>Face-to-face</x:v>
      </x:c>
      <x:c r="L58" s="47" t="str">
        <x:v>Seminar Room</x:v>
      </x:c>
      <x:c r="M58" s="47" t="str">
        <x:v>Physical</x:v>
      </x:c>
      <x:c r="N58" s="117" t="n">
        <x:v>40</x:v>
      </x:c>
      <x:c r="O58" s="100" t="str">
        <x:v>PEI YIYANG</x:v>
      </x:c>
      <x:c r="P58" s="100" t="str">
        <x:v>EMP2520</x:v>
      </x:c>
      <x:c r="Q58" s="100" t="str">
        <x:v>TEOH SOO KHEAN</x:v>
      </x:c>
      <x:c r="R58" s="100" t="str">
        <x:v>EMP2965</x:v>
      </x:c>
      <x:c r="S58" s="100"/>
      <x:c r="T58" s="100"/>
      <x:c r="U58" s="100"/>
      <x:c r="V58" s="47"/>
      <x:c r="W58" s="100" t="str">
        <x:v>Requirements Template_ENG.xlsx</x:v>
      </x:c>
      <x:c r="X58" s="145" t="n">
        <x:v>11</x:v>
      </x:c>
    </x:row>
    <x:row r="59" ht="22" customHeight="1">
      <x:c r="A59" s="56" t="str">
        <x:v>REQ-CEG-CEG1007-QZ-03</x:v>
      </x:c>
      <x:c r="B59" s="70" t="str">
        <x:v>CEG</x:v>
      </x:c>
      <x:c r="C59" s="107" t="n">
        <x:v>1</x:v>
      </x:c>
      <x:c r="D59" s="13" t="str">
        <x:v>CEG Y1 P1</x:v>
      </x:c>
      <x:c r="E59" s="87" t="str">
        <x:v>CEG1007</x:v>
      </x:c>
      <x:c r="F59" s="90" t="str">
        <x:v>CEG1007</x:v>
      </x:c>
      <x:c r="G59" s="44" t="str">
        <x:v>Quiz</x:v>
      </x:c>
      <x:c r="H59" s="116" t="n">
        <x:v>1</x:v>
      </x:c>
      <x:c r="I59" s="126" t="n">
        <x:v>1</x:v>
      </x:c>
      <x:c r="J59" s="107" t="n">
        <x:v>1</x:v>
      </x:c>
      <x:c r="K59" s="13" t="str">
        <x:v>Face-to-face</x:v>
      </x:c>
      <x:c r="L59" s="13" t="str">
        <x:v>Lectorial</x:v>
      </x:c>
      <x:c r="M59" s="13" t="str">
        <x:v>Physical</x:v>
      </x:c>
      <x:c r="N59" s="107" t="n">
        <x:v>40</x:v>
      </x:c>
      <x:c r="O59" s="90" t="str">
        <x:v>PEI YIYANG</x:v>
      </x:c>
      <x:c r="P59" s="90" t="str">
        <x:v>EMP2520</x:v>
      </x:c>
      <x:c r="Q59" s="90"/>
      <x:c r="R59" s="90"/>
      <x:c r="S59" s="90"/>
      <x:c r="T59" s="90"/>
      <x:c r="U59" s="90"/>
      <x:c r="V59" s="13"/>
      <x:c r="W59" s="90" t="str">
        <x:v>Requirements Template_ENG.xlsx</x:v>
      </x:c>
      <x:c r="X59" s="135" t="n">
        <x:v>18</x:v>
      </x:c>
    </x:row>
    <x:row r="60" ht="22" customHeight="1">
      <x:c r="A60" s="57" t="str">
        <x:v>REQ-CEG-CEG1009-LEC-01</x:v>
      </x:c>
      <x:c r="B60" s="71" t="str">
        <x:v>CEG</x:v>
      </x:c>
      <x:c r="C60" s="108" t="n">
        <x:v>1</x:v>
      </x:c>
      <x:c r="D60" s="17" t="str">
        <x:v>CEG Y1 P1</x:v>
      </x:c>
      <x:c r="E60" s="86" t="str">
        <x:v>CEG1009</x:v>
      </x:c>
      <x:c r="F60" s="91" t="str">
        <x:v>CEG1009</x:v>
      </x:c>
      <x:c r="G60" s="17" t="str">
        <x:v>Lecture</x:v>
      </x:c>
      <x:c r="H60" s="108" t="n">
        <x:v>1</x:v>
      </x:c>
      <x:c r="I60" s="122" t="n">
        <x:v>2</x:v>
      </x:c>
      <x:c r="J60" s="108" t="n">
        <x:v>1</x:v>
      </x:c>
      <x:c r="K60" s="17" t="str">
        <x:v>Face-to-face</x:v>
      </x:c>
      <x:c r="L60" s="17" t="str">
        <x:v>Lectorial</x:v>
      </x:c>
      <x:c r="M60" s="17" t="str">
        <x:v>Physical</x:v>
      </x:c>
      <x:c r="N60" s="108" t="n">
        <x:v>40</x:v>
      </x:c>
      <x:c r="O60" s="91" t="str">
        <x:v>PEI YIYANG</x:v>
      </x:c>
      <x:c r="P60" s="91" t="str">
        <x:v>EMP2520</x:v>
      </x:c>
      <x:c r="Q60" s="91"/>
      <x:c r="R60" s="91"/>
      <x:c r="S60" s="91"/>
      <x:c r="T60" s="91"/>
      <x:c r="U60" s="91"/>
      <x:c r="V60" s="17"/>
      <x:c r="W60" s="91" t="str">
        <x:v>Requirements Template_ENG.xlsx</x:v>
      </x:c>
      <x:c r="X60" s="136" t="n">
        <x:v>7</x:v>
      </x:c>
    </x:row>
    <x:row r="61" ht="22" customHeight="1">
      <x:c r="A61" s="58" t="str">
        <x:v>REQ-CEG-CEG1009-TUT-02</x:v>
      </x:c>
      <x:c r="B61" s="72" t="str">
        <x:v>CEG</x:v>
      </x:c>
      <x:c r="C61" s="109" t="n">
        <x:v>1</x:v>
      </x:c>
      <x:c r="D61" s="20" t="str">
        <x:v>CEG Y1 P1</x:v>
      </x:c>
      <x:c r="E61" s="87" t="str">
        <x:v>CEG1009</x:v>
      </x:c>
      <x:c r="F61" s="92" t="str">
        <x:v>CEG1009</x:v>
      </x:c>
      <x:c r="G61" s="20" t="str">
        <x:v>Tutorial</x:v>
      </x:c>
      <x:c r="H61" s="109" t="n">
        <x:v>1</x:v>
      </x:c>
      <x:c r="I61" s="123" t="n">
        <x:v>2</x:v>
      </x:c>
      <x:c r="J61" s="109" t="n">
        <x:v>1</x:v>
      </x:c>
      <x:c r="K61" s="20" t="str">
        <x:v>Face-to-face</x:v>
      </x:c>
      <x:c r="L61" s="20" t="str">
        <x:v>Seminar Room</x:v>
      </x:c>
      <x:c r="M61" s="20" t="str">
        <x:v>Physical</x:v>
      </x:c>
      <x:c r="N61" s="109" t="n">
        <x:v>40</x:v>
      </x:c>
      <x:c r="O61" s="92" t="str">
        <x:v>PEI YIYANG</x:v>
      </x:c>
      <x:c r="P61" s="92" t="str">
        <x:v>EMP2520</x:v>
      </x:c>
      <x:c r="Q61" s="92" t="str">
        <x:v>TEOH SOO KHEAN</x:v>
      </x:c>
      <x:c r="R61" s="92" t="str">
        <x:v>EMP2965</x:v>
      </x:c>
      <x:c r="S61" s="92"/>
      <x:c r="T61" s="92"/>
      <x:c r="U61" s="92"/>
      <x:c r="V61" s="20"/>
      <x:c r="W61" s="92" t="str">
        <x:v>Requirements Template_ENG.xlsx</x:v>
      </x:c>
      <x:c r="X61" s="137" t="n">
        <x:v>11</x:v>
      </x:c>
    </x:row>
    <x:row r="62" ht="22" customHeight="1">
      <x:c r="A62" s="59" t="str">
        <x:v>REQ-CEG-CEG2005-LEC-01</x:v>
      </x:c>
      <x:c r="B62" s="73" t="str">
        <x:v>CEG</x:v>
      </x:c>
      <x:c r="C62" s="110" t="n">
        <x:v>2</x:v>
      </x:c>
      <x:c r="D62" s="24" t="str">
        <x:v>CEG Y2 P1</x:v>
      </x:c>
      <x:c r="E62" s="86" t="str">
        <x:v>CEG2005</x:v>
      </x:c>
      <x:c r="F62" s="93" t="str">
        <x:v>CEG2005</x:v>
      </x:c>
      <x:c r="G62" s="24" t="str">
        <x:v>Lecture</x:v>
      </x:c>
      <x:c r="H62" s="110" t="n">
        <x:v>1</x:v>
      </x:c>
      <x:c r="I62" s="124" t="n">
        <x:v>2</x:v>
      </x:c>
      <x:c r="J62" s="110" t="n">
        <x:v>1</x:v>
      </x:c>
      <x:c r="K62" s="24" t="str">
        <x:v>Face-to-face</x:v>
      </x:c>
      <x:c r="L62" s="24" t="str">
        <x:v>Lectorial</x:v>
      </x:c>
      <x:c r="M62" s="24" t="str">
        <x:v>Physical</x:v>
      </x:c>
      <x:c r="N62" s="110" t="n">
        <x:v>40</x:v>
      </x:c>
      <x:c r="O62" s="93" t="str">
        <x:v>PEI YIYANG</x:v>
      </x:c>
      <x:c r="P62" s="93" t="str">
        <x:v>EMP2520</x:v>
      </x:c>
      <x:c r="Q62" s="93"/>
      <x:c r="R62" s="93"/>
      <x:c r="S62" s="93"/>
      <x:c r="T62" s="93"/>
      <x:c r="U62" s="93"/>
      <x:c r="V62" s="24"/>
      <x:c r="W62" s="93" t="str">
        <x:v>Requirements Template_ENG.xlsx</x:v>
      </x:c>
      <x:c r="X62" s="138" t="n">
        <x:v>7</x:v>
      </x:c>
    </x:row>
    <x:row r="63" ht="22" customHeight="1">
      <x:c r="A63" s="61" t="str">
        <x:v>REQ-CEG-CEG2005-TUT-02</x:v>
      </x:c>
      <x:c r="B63" s="75" t="str">
        <x:v>CEG</x:v>
      </x:c>
      <x:c r="C63" s="112" t="n">
        <x:v>2</x:v>
      </x:c>
      <x:c r="D63" s="30" t="str">
        <x:v>CEG Y2 P1</x:v>
      </x:c>
      <x:c r="E63" s="87" t="str">
        <x:v>CEG2005</x:v>
      </x:c>
      <x:c r="F63" s="95" t="str">
        <x:v>CEG2005</x:v>
      </x:c>
      <x:c r="G63" s="30" t="str">
        <x:v>Tutorial</x:v>
      </x:c>
      <x:c r="H63" s="112" t="n">
        <x:v>1</x:v>
      </x:c>
      <x:c r="I63" s="131" t="n">
        <x:v>2</x:v>
      </x:c>
      <x:c r="J63" s="112" t="n">
        <x:v>1</x:v>
      </x:c>
      <x:c r="K63" s="30" t="str">
        <x:v>Face-to-face</x:v>
      </x:c>
      <x:c r="L63" s="30" t="str">
        <x:v>Seminar Room</x:v>
      </x:c>
      <x:c r="M63" s="30" t="str">
        <x:v>Physical</x:v>
      </x:c>
      <x:c r="N63" s="112" t="n">
        <x:v>40</x:v>
      </x:c>
      <x:c r="O63" s="95" t="str">
        <x:v>PEI YIYANG</x:v>
      </x:c>
      <x:c r="P63" s="95" t="str">
        <x:v>EMP2520</x:v>
      </x:c>
      <x:c r="Q63" s="95" t="str">
        <x:v>TEOH SOO KHEAN</x:v>
      </x:c>
      <x:c r="R63" s="95" t="str">
        <x:v>EMP2965</x:v>
      </x:c>
      <x:c r="S63" s="95"/>
      <x:c r="T63" s="95"/>
      <x:c r="U63" s="95"/>
      <x:c r="V63" s="30"/>
      <x:c r="W63" s="95" t="str">
        <x:v>Requirements Template_ENG.xlsx</x:v>
      </x:c>
      <x:c r="X63" s="140" t="n">
        <x:v>11</x:v>
      </x:c>
    </x:row>
    <x:row r="64" ht="22" customHeight="1">
      <x:c r="A64" s="62" t="str">
        <x:v>REQ-CEG-CEG2006-LEC-01</x:v>
      </x:c>
      <x:c r="B64" s="76" t="str">
        <x:v>CEG</x:v>
      </x:c>
      <x:c r="C64" s="113" t="n">
        <x:v>2</x:v>
      </x:c>
      <x:c r="D64" s="34" t="str">
        <x:v>CEG Y2 P1</x:v>
      </x:c>
      <x:c r="E64" s="86" t="str">
        <x:v>CEG2006</x:v>
      </x:c>
      <x:c r="F64" s="96" t="str">
        <x:v>CEG2006</x:v>
      </x:c>
      <x:c r="G64" s="34" t="str">
        <x:v>Lecture</x:v>
      </x:c>
      <x:c r="H64" s="113" t="n">
        <x:v>1</x:v>
      </x:c>
      <x:c r="I64" s="127" t="n">
        <x:v>2</x:v>
      </x:c>
      <x:c r="J64" s="113" t="n">
        <x:v>1</x:v>
      </x:c>
      <x:c r="K64" s="34" t="str">
        <x:v>Face-to-face</x:v>
      </x:c>
      <x:c r="L64" s="34" t="str">
        <x:v>Lectorial</x:v>
      </x:c>
      <x:c r="M64" s="34" t="str">
        <x:v>Physical</x:v>
      </x:c>
      <x:c r="N64" s="113" t="n">
        <x:v>40</x:v>
      </x:c>
      <x:c r="O64" s="96" t="str">
        <x:v>PEI YIYANG</x:v>
      </x:c>
      <x:c r="P64" s="96" t="str">
        <x:v>EMP2520</x:v>
      </x:c>
      <x:c r="Q64" s="96"/>
      <x:c r="R64" s="96"/>
      <x:c r="S64" s="96"/>
      <x:c r="T64" s="96"/>
      <x:c r="U64" s="96"/>
      <x:c r="V64" s="34"/>
      <x:c r="W64" s="96" t="str">
        <x:v>Requirements Template_ENG.xlsx</x:v>
      </x:c>
      <x:c r="X64" s="141" t="n">
        <x:v>7</x:v>
      </x:c>
    </x:row>
    <x:row r="65" ht="22" customHeight="1">
      <x:c r="A65" s="63" t="str">
        <x:v>REQ-CEG-CEG2006-TUT-02</x:v>
      </x:c>
      <x:c r="B65" s="77" t="str">
        <x:v>CEG</x:v>
      </x:c>
      <x:c r="C65" s="114" t="n">
        <x:v>2</x:v>
      </x:c>
      <x:c r="D65" s="37" t="str">
        <x:v>CEG Y2 P1</x:v>
      </x:c>
      <x:c r="E65" s="87" t="str">
        <x:v>CEG2006</x:v>
      </x:c>
      <x:c r="F65" s="97" t="str">
        <x:v>CEG2006</x:v>
      </x:c>
      <x:c r="G65" s="37" t="str">
        <x:v>Tutorial</x:v>
      </x:c>
      <x:c r="H65" s="114" t="n">
        <x:v>1</x:v>
      </x:c>
      <x:c r="I65" s="128" t="n">
        <x:v>2</x:v>
      </x:c>
      <x:c r="J65" s="114" t="n">
        <x:v>1</x:v>
      </x:c>
      <x:c r="K65" s="37" t="str">
        <x:v>Face-to-face</x:v>
      </x:c>
      <x:c r="L65" s="37" t="str">
        <x:v>Seminar Room</x:v>
      </x:c>
      <x:c r="M65" s="37" t="str">
        <x:v>Physical</x:v>
      </x:c>
      <x:c r="N65" s="114" t="n">
        <x:v>40</x:v>
      </x:c>
      <x:c r="O65" s="97" t="str">
        <x:v>PEI YIYANG</x:v>
      </x:c>
      <x:c r="P65" s="97" t="str">
        <x:v>EMP2520</x:v>
      </x:c>
      <x:c r="Q65" s="97" t="str">
        <x:v>TEOH SOO KHEAN</x:v>
      </x:c>
      <x:c r="R65" s="97" t="str">
        <x:v>EMP2965</x:v>
      </x:c>
      <x:c r="S65" s="97"/>
      <x:c r="T65" s="97"/>
      <x:c r="U65" s="97"/>
      <x:c r="V65" s="37"/>
      <x:c r="W65" s="97" t="str">
        <x:v>Requirements Template_ENG.xlsx</x:v>
      </x:c>
      <x:c r="X65" s="142" t="n">
        <x:v>11</x:v>
      </x:c>
    </x:row>
    <x:row r="66" ht="22" customHeight="1">
      <x:c r="A66" s="64" t="str">
        <x:v>REQ-CEG-CEG2009-LEC-01</x:v>
      </x:c>
      <x:c r="B66" s="78" t="str">
        <x:v>CEG</x:v>
      </x:c>
      <x:c r="C66" s="115" t="n">
        <x:v>2</x:v>
      </x:c>
      <x:c r="D66" s="41" t="str">
        <x:v>CEG Y2 P1</x:v>
      </x:c>
      <x:c r="E66" s="86" t="str">
        <x:v>CEG2009</x:v>
      </x:c>
      <x:c r="F66" s="98" t="str">
        <x:v>CEG2009</x:v>
      </x:c>
      <x:c r="G66" s="41" t="str">
        <x:v>Lecture</x:v>
      </x:c>
      <x:c r="H66" s="115" t="n">
        <x:v>1</x:v>
      </x:c>
      <x:c r="I66" s="129" t="n">
        <x:v>2</x:v>
      </x:c>
      <x:c r="J66" s="115" t="n">
        <x:v>1</x:v>
      </x:c>
      <x:c r="K66" s="41" t="str">
        <x:v>Face-to-face</x:v>
      </x:c>
      <x:c r="L66" s="41" t="str">
        <x:v>Lectorial</x:v>
      </x:c>
      <x:c r="M66" s="41" t="str">
        <x:v>Physical</x:v>
      </x:c>
      <x:c r="N66" s="115" t="n">
        <x:v>40</x:v>
      </x:c>
      <x:c r="O66" s="98" t="str">
        <x:v>PEI YIYANG</x:v>
      </x:c>
      <x:c r="P66" s="98" t="str">
        <x:v>EMP2520</x:v>
      </x:c>
      <x:c r="Q66" s="98"/>
      <x:c r="R66" s="98"/>
      <x:c r="S66" s="98"/>
      <x:c r="T66" s="98"/>
      <x:c r="U66" s="98"/>
      <x:c r="V66" s="41"/>
      <x:c r="W66" s="98" t="str">
        <x:v>Requirements Template_ENG.xlsx</x:v>
      </x:c>
      <x:c r="X66" s="143" t="n">
        <x:v>7</x:v>
      </x:c>
    </x:row>
    <x:row r="67" ht="22" customHeight="1">
      <x:c r="A67" s="65" t="str">
        <x:v>REQ-CEG-CEG2009-TUT-02</x:v>
      </x:c>
      <x:c r="B67" s="79" t="str">
        <x:v>CEG</x:v>
      </x:c>
      <x:c r="C67" s="116" t="n">
        <x:v>2</x:v>
      </x:c>
      <x:c r="D67" s="44" t="str">
        <x:v>CEG Y2 P1</x:v>
      </x:c>
      <x:c r="E67" s="87" t="str">
        <x:v>CEG2009</x:v>
      </x:c>
      <x:c r="F67" s="99" t="str">
        <x:v>CEG2009</x:v>
      </x:c>
      <x:c r="G67" s="44" t="str">
        <x:v>Tutorial</x:v>
      </x:c>
      <x:c r="H67" s="116" t="n">
        <x:v>1</x:v>
      </x:c>
      <x:c r="I67" s="126" t="n">
        <x:v>2</x:v>
      </x:c>
      <x:c r="J67" s="116" t="n">
        <x:v>1</x:v>
      </x:c>
      <x:c r="K67" s="44" t="str">
        <x:v>Face-to-face</x:v>
      </x:c>
      <x:c r="L67" s="44" t="str">
        <x:v>Seminar Room</x:v>
      </x:c>
      <x:c r="M67" s="44" t="str">
        <x:v>Physical</x:v>
      </x:c>
      <x:c r="N67" s="116" t="n">
        <x:v>40</x:v>
      </x:c>
      <x:c r="O67" s="99" t="str">
        <x:v>PEI YIYANG</x:v>
      </x:c>
      <x:c r="P67" s="99" t="str">
        <x:v>EMP2520</x:v>
      </x:c>
      <x:c r="Q67" s="99" t="str">
        <x:v>TEOH SOO KHEAN</x:v>
      </x:c>
      <x:c r="R67" s="99" t="str">
        <x:v>EMP2965</x:v>
      </x:c>
      <x:c r="S67" s="99"/>
      <x:c r="T67" s="99"/>
      <x:c r="U67" s="99"/>
      <x:c r="V67" s="44"/>
      <x:c r="W67" s="99" t="str">
        <x:v>Requirements Template_ENG.xlsx</x:v>
      </x:c>
      <x:c r="X67" s="144" t="n">
        <x:v>11</x:v>
      </x:c>
    </x:row>
    <x:row r="68" ht="22" customHeight="1">
      <x:c r="A68" s="55" t="str">
        <x:v>REQ-CVE-CVE1222-LEC-01</x:v>
      </x:c>
      <x:c r="B68" s="69" t="str">
        <x:v>CVE</x:v>
      </x:c>
      <x:c r="C68" s="106" t="n">
        <x:v>1</x:v>
      </x:c>
      <x:c r="D68" s="10" t="str">
        <x:v>CVE Y1 P1</x:v>
      </x:c>
      <x:c r="E68" s="86" t="str">
        <x:v>CVE1222</x:v>
      </x:c>
      <x:c r="F68" s="89" t="str">
        <x:v>CVE1222</x:v>
      </x:c>
      <x:c r="G68" s="10" t="str">
        <x:v>Lecture</x:v>
      </x:c>
      <x:c r="H68" s="106" t="n">
        <x:v>1</x:v>
      </x:c>
      <x:c r="I68" s="120" t="n">
        <x:v>2</x:v>
      </x:c>
      <x:c r="J68" s="106" t="n">
        <x:v>1</x:v>
      </x:c>
      <x:c r="K68" s="103" t="str">
        <x:v>Online</x:v>
      </x:c>
      <x:c r="L68" s="103" t="str">
        <x:v>Virtual</x:v>
      </x:c>
      <x:c r="M68" s="103" t="str">
        <x:v>Virtual</x:v>
      </x:c>
      <x:c r="N68" s="106" t="n">
        <x:v>40</x:v>
      </x:c>
      <x:c r="O68" s="89" t="str">
        <x:v>KIM YONGMIN</x:v>
      </x:c>
      <x:c r="P68" s="89" t="str">
        <x:v>EMP1890</x:v>
      </x:c>
      <x:c r="Q68" s="89"/>
      <x:c r="R68" s="89"/>
      <x:c r="S68" s="89"/>
      <x:c r="T68" s="89"/>
      <x:c r="U68" s="89"/>
      <x:c r="V68" s="10"/>
      <x:c r="W68" s="89" t="str">
        <x:v>Requirements Template CVE 5 May 25 -revised.xlsx</x:v>
      </x:c>
      <x:c r="X68" s="134" t="n">
        <x:v>5</x:v>
      </x:c>
    </x:row>
    <x:row r="69" ht="22" customHeight="1">
      <x:c r="A69" s="56" t="str">
        <x:v>REQ-CVE-CVE1222-TUT-02</x:v>
      </x:c>
      <x:c r="B69" s="70" t="str">
        <x:v>CVE</x:v>
      </x:c>
      <x:c r="C69" s="107" t="n">
        <x:v>1</x:v>
      </x:c>
      <x:c r="D69" s="13" t="str">
        <x:v>CVE Y1 P1</x:v>
      </x:c>
      <x:c r="E69" s="87" t="str">
        <x:v>CVE1222</x:v>
      </x:c>
      <x:c r="F69" s="90" t="str">
        <x:v>CVE1222</x:v>
      </x:c>
      <x:c r="G69" s="13" t="str">
        <x:v>Tutorial</x:v>
      </x:c>
      <x:c r="H69" s="107" t="n">
        <x:v>1</x:v>
      </x:c>
      <x:c r="I69" s="121" t="n">
        <x:v>2</x:v>
      </x:c>
      <x:c r="J69" s="107" t="n">
        <x:v>1</x:v>
      </x:c>
      <x:c r="K69" s="13" t="str">
        <x:v>Face-to-face</x:v>
      </x:c>
      <x:c r="L69" s="13" t="str">
        <x:v>Seminar Room</x:v>
      </x:c>
      <x:c r="M69" s="13" t="str">
        <x:v>Physical</x:v>
      </x:c>
      <x:c r="N69" s="107" t="n">
        <x:v>40</x:v>
      </x:c>
      <x:c r="O69" s="90" t="str">
        <x:v>KIM YONGMIN</x:v>
      </x:c>
      <x:c r="P69" s="90" t="str">
        <x:v>EMP1890</x:v>
      </x:c>
      <x:c r="Q69" s="90"/>
      <x:c r="R69" s="90"/>
      <x:c r="S69" s="90"/>
      <x:c r="T69" s="90"/>
      <x:c r="U69" s="90"/>
      <x:c r="V69" s="13"/>
      <x:c r="W69" s="90" t="str">
        <x:v>Requirements Template CVE 5 May 25 -revised.xlsx</x:v>
      </x:c>
      <x:c r="X69" s="135" t="n">
        <x:v>6</x:v>
      </x:c>
    </x:row>
    <x:row r="70" ht="22" customHeight="1">
      <x:c r="A70" s="57" t="str">
        <x:v>REQ-CVE-CVE1242-LEC-01</x:v>
      </x:c>
      <x:c r="B70" s="71" t="str">
        <x:v>CVE</x:v>
      </x:c>
      <x:c r="C70" s="108" t="n">
        <x:v>1</x:v>
      </x:c>
      <x:c r="D70" s="17" t="str">
        <x:v>CVE Y1 P1</x:v>
      </x:c>
      <x:c r="E70" s="86" t="str">
        <x:v>CVE1242</x:v>
      </x:c>
      <x:c r="F70" s="91" t="str">
        <x:v>CVE1242</x:v>
      </x:c>
      <x:c r="G70" s="17" t="str">
        <x:v>Lecture</x:v>
      </x:c>
      <x:c r="H70" s="108" t="n">
        <x:v>1</x:v>
      </x:c>
      <x:c r="I70" s="122" t="n">
        <x:v>2</x:v>
      </x:c>
      <x:c r="J70" s="108" t="n">
        <x:v>1</x:v>
      </x:c>
      <x:c r="K70" s="17" t="str">
        <x:v>Face-to-face</x:v>
      </x:c>
      <x:c r="L70" s="17" t="str">
        <x:v>Lectorial</x:v>
      </x:c>
      <x:c r="M70" s="17" t="str">
        <x:v>Physical</x:v>
      </x:c>
      <x:c r="N70" s="108" t="n">
        <x:v>40</x:v>
      </x:c>
      <x:c r="O70" s="91" t="str">
        <x:v>HO JIAHUI</x:v>
      </x:c>
      <x:c r="P70" s="91" t="str">
        <x:v>EMP1653</x:v>
      </x:c>
      <x:c r="Q70" s="91"/>
      <x:c r="R70" s="91"/>
      <x:c r="S70" s="91"/>
      <x:c r="T70" s="91"/>
      <x:c r="U70" s="91"/>
      <x:c r="V70" s="17"/>
      <x:c r="W70" s="91" t="str">
        <x:v>Requirements Template CVE 5 May 25 -revised.xlsx</x:v>
      </x:c>
      <x:c r="X70" s="136" t="n">
        <x:v>14</x:v>
      </x:c>
    </x:row>
    <x:row r="71" ht="22" customHeight="1">
      <x:c r="A71" s="67" t="str">
        <x:v>REQ-CVE-CVE1242-TUT-02</x:v>
      </x:c>
      <x:c r="B71" s="81" t="str">
        <x:v>CVE</x:v>
      </x:c>
      <x:c r="C71" s="118" t="n">
        <x:v>1</x:v>
      </x:c>
      <x:c r="D71" s="50" t="str">
        <x:v>CVE Y1 P1</x:v>
      </x:c>
      <x:c r="E71" s="88" t="str">
        <x:v>CVE1242</x:v>
      </x:c>
      <x:c r="F71" s="101" t="str">
        <x:v>CVE1242</x:v>
      </x:c>
      <x:c r="G71" s="50" t="str">
        <x:v>Tutorial</x:v>
      </x:c>
      <x:c r="H71" s="118" t="n">
        <x:v>1</x:v>
      </x:c>
      <x:c r="I71" s="132" t="n">
        <x:v>2</x:v>
      </x:c>
      <x:c r="J71" s="118" t="n">
        <x:v>1</x:v>
      </x:c>
      <x:c r="K71" s="50" t="str">
        <x:v>Face-to-face</x:v>
      </x:c>
      <x:c r="L71" s="50" t="str">
        <x:v>Seminar Room</x:v>
      </x:c>
      <x:c r="M71" s="50" t="str">
        <x:v>Physical</x:v>
      </x:c>
      <x:c r="N71" s="118" t="n">
        <x:v>40</x:v>
      </x:c>
      <x:c r="O71" s="101" t="str">
        <x:v>HO JIAHUI</x:v>
      </x:c>
      <x:c r="P71" s="101" t="str">
        <x:v>EMP1653</x:v>
      </x:c>
      <x:c r="Q71" s="101"/>
      <x:c r="R71" s="101"/>
      <x:c r="S71" s="101"/>
      <x:c r="T71" s="101"/>
      <x:c r="U71" s="101"/>
      <x:c r="V71" s="50"/>
      <x:c r="W71" s="101" t="str">
        <x:v>Requirements Template CVE 5 May 25 -revised.xlsx</x:v>
      </x:c>
      <x:c r="X71" s="146" t="n">
        <x:v>15</x:v>
      </x:c>
    </x:row>
    <x:row r="72" ht="22" customHeight="1">
      <x:c r="A72" s="58" t="str">
        <x:v>REQ-CVE-CVE1242-QZ-03</x:v>
      </x:c>
      <x:c r="B72" s="72" t="str">
        <x:v>CVE</x:v>
      </x:c>
      <x:c r="C72" s="109" t="n">
        <x:v>1</x:v>
      </x:c>
      <x:c r="D72" s="20" t="str">
        <x:v>CVE Y1 P1</x:v>
      </x:c>
      <x:c r="E72" s="87" t="str">
        <x:v>CVE1242</x:v>
      </x:c>
      <x:c r="F72" s="92" t="str">
        <x:v>CVE1242</x:v>
      </x:c>
      <x:c r="G72" s="44" t="str">
        <x:v>Quiz</x:v>
      </x:c>
      <x:c r="H72" s="116" t="n">
        <x:v>1</x:v>
      </x:c>
      <x:c r="I72" s="126" t="n">
        <x:v>1</x:v>
      </x:c>
      <x:c r="J72" s="109" t="n">
        <x:v>1</x:v>
      </x:c>
      <x:c r="K72" s="20" t="str">
        <x:v>Face-to-face</x:v>
      </x:c>
      <x:c r="L72" s="20" t="str">
        <x:v>Lectorial</x:v>
      </x:c>
      <x:c r="M72" s="20" t="str">
        <x:v>Physical</x:v>
      </x:c>
      <x:c r="N72" s="109" t="n">
        <x:v>40</x:v>
      </x:c>
      <x:c r="O72" s="92" t="str">
        <x:v>HO JIAHUI</x:v>
      </x:c>
      <x:c r="P72" s="92" t="str">
        <x:v>EMP1653</x:v>
      </x:c>
      <x:c r="Q72" s="92"/>
      <x:c r="R72" s="92"/>
      <x:c r="S72" s="92"/>
      <x:c r="T72" s="92"/>
      <x:c r="U72" s="92"/>
      <x:c r="V72" s="20"/>
      <x:c r="W72" s="92" t="str">
        <x:v>Requirements Template CVE 5 May 25 -revised.xlsx</x:v>
      </x:c>
      <x:c r="X72" s="137" t="n">
        <x:v>11</x:v>
      </x:c>
    </x:row>
    <x:row r="73" ht="22" customHeight="1">
      <x:c r="A73" s="59" t="str">
        <x:v>REQ-CVE-CVE1261-LEC-01</x:v>
      </x:c>
      <x:c r="B73" s="73" t="str">
        <x:v>CVE</x:v>
      </x:c>
      <x:c r="C73" s="110" t="n">
        <x:v>1</x:v>
      </x:c>
      <x:c r="D73" s="24" t="str">
        <x:v>CVE Y1 P1</x:v>
      </x:c>
      <x:c r="E73" s="86" t="str">
        <x:v>CVE1261</x:v>
      </x:c>
      <x:c r="F73" s="93" t="str">
        <x:v>CVE1261</x:v>
      </x:c>
      <x:c r="G73" s="24" t="str">
        <x:v>Lecture</x:v>
      </x:c>
      <x:c r="H73" s="110" t="n">
        <x:v>1</x:v>
      </x:c>
      <x:c r="I73" s="124" t="n">
        <x:v>2</x:v>
      </x:c>
      <x:c r="J73" s="110" t="n">
        <x:v>1</x:v>
      </x:c>
      <x:c r="K73" s="24" t="str">
        <x:v>Face-to-face</x:v>
      </x:c>
      <x:c r="L73" s="24" t="str">
        <x:v>Lectorial</x:v>
      </x:c>
      <x:c r="M73" s="24" t="str">
        <x:v>Physical</x:v>
      </x:c>
      <x:c r="N73" s="110" t="n">
        <x:v>40</x:v>
      </x:c>
      <x:c r="O73" s="93" t="str">
        <x:v>KUM YUNG JUAN</x:v>
      </x:c>
      <x:c r="P73" s="93" t="str">
        <x:v>EMP1930</x:v>
      </x:c>
      <x:c r="Q73" s="93"/>
      <x:c r="R73" s="93"/>
      <x:c r="S73" s="93"/>
      <x:c r="T73" s="93"/>
      <x:c r="U73" s="93"/>
      <x:c r="V73" s="24"/>
      <x:c r="W73" s="93" t="str">
        <x:v>Requirements Template CVE 5 May 25 -revised.xlsx</x:v>
      </x:c>
      <x:c r="X73" s="138" t="n">
        <x:v>21</x:v>
      </x:c>
    </x:row>
    <x:row r="74" ht="22" customHeight="1">
      <x:c r="A74" s="61" t="str">
        <x:v>REQ-CVE-CVE1261-TUT-02</x:v>
      </x:c>
      <x:c r="B74" s="75" t="str">
        <x:v>CVE</x:v>
      </x:c>
      <x:c r="C74" s="112" t="n">
        <x:v>1</x:v>
      </x:c>
      <x:c r="D74" s="30" t="str">
        <x:v>CVE Y1 P1</x:v>
      </x:c>
      <x:c r="E74" s="87" t="str">
        <x:v>CVE1261</x:v>
      </x:c>
      <x:c r="F74" s="95" t="str">
        <x:v>CVE1261</x:v>
      </x:c>
      <x:c r="G74" s="30" t="str">
        <x:v>Tutorial</x:v>
      </x:c>
      <x:c r="H74" s="112" t="n">
        <x:v>1</x:v>
      </x:c>
      <x:c r="I74" s="131" t="n">
        <x:v>2</x:v>
      </x:c>
      <x:c r="J74" s="112" t="n">
        <x:v>1</x:v>
      </x:c>
      <x:c r="K74" s="30" t="str">
        <x:v>Face-to-face</x:v>
      </x:c>
      <x:c r="L74" s="30" t="str">
        <x:v>Seminar Room</x:v>
      </x:c>
      <x:c r="M74" s="30" t="str">
        <x:v>Physical</x:v>
      </x:c>
      <x:c r="N74" s="112" t="n">
        <x:v>40</x:v>
      </x:c>
      <x:c r="O74" s="95" t="str">
        <x:v>KUM YUNG JUAN</x:v>
      </x:c>
      <x:c r="P74" s="95" t="str">
        <x:v>EMP1930</x:v>
      </x:c>
      <x:c r="Q74" s="95"/>
      <x:c r="R74" s="95"/>
      <x:c r="S74" s="95"/>
      <x:c r="T74" s="95"/>
      <x:c r="U74" s="95"/>
      <x:c r="V74" s="30"/>
      <x:c r="W74" s="95" t="str">
        <x:v>Requirements Template CVE 5 May 25 -revised.xlsx</x:v>
      </x:c>
      <x:c r="X74" s="140" t="n">
        <x:v>22</x:v>
      </x:c>
    </x:row>
    <x:row r="75" ht="22" customHeight="1">
      <x:c r="A75" s="62" t="str">
        <x:v>REQ-CVE-CVE3221-LEC-01</x:v>
      </x:c>
      <x:c r="B75" s="76" t="str">
        <x:v>CVE</x:v>
      </x:c>
      <x:c r="C75" s="113" t="n">
        <x:v>3</x:v>
      </x:c>
      <x:c r="D75" s="34" t="str">
        <x:v>CVE Y3 P1</x:v>
      </x:c>
      <x:c r="E75" s="86" t="str">
        <x:v>CVE3221</x:v>
      </x:c>
      <x:c r="F75" s="96" t="str">
        <x:v>CVE3221</x:v>
      </x:c>
      <x:c r="G75" s="34" t="str">
        <x:v>Lecture</x:v>
      </x:c>
      <x:c r="H75" s="113" t="n">
        <x:v>1</x:v>
      </x:c>
      <x:c r="I75" s="127" t="n">
        <x:v>2</x:v>
      </x:c>
      <x:c r="J75" s="113" t="n">
        <x:v>1</x:v>
      </x:c>
      <x:c r="K75" s="34" t="str">
        <x:v>Face-to-face</x:v>
      </x:c>
      <x:c r="L75" s="34" t="str">
        <x:v>Lectorial</x:v>
      </x:c>
      <x:c r="M75" s="34" t="str">
        <x:v>Physical</x:v>
      </x:c>
      <x:c r="N75" s="113" t="n">
        <x:v>40</x:v>
      </x:c>
      <x:c r="O75" s="96" t="str">
        <x:v>HO JIAHUI</x:v>
      </x:c>
      <x:c r="P75" s="96" t="str">
        <x:v>EMP1653</x:v>
      </x:c>
      <x:c r="Q75" s="96"/>
      <x:c r="R75" s="96"/>
      <x:c r="S75" s="96"/>
      <x:c r="T75" s="96"/>
      <x:c r="U75" s="96"/>
      <x:c r="V75" s="34"/>
      <x:c r="W75" s="96" t="str">
        <x:v>Requirements Template CVE 5 May 25 -revised.xlsx</x:v>
      </x:c>
      <x:c r="X75" s="141" t="n">
        <x:v>24</x:v>
      </x:c>
    </x:row>
    <x:row r="76" ht="22" customHeight="1">
      <x:c r="A76" s="63" t="str">
        <x:v>REQ-CVE-CVE3221-TUT-02</x:v>
      </x:c>
      <x:c r="B76" s="77" t="str">
        <x:v>CVE</x:v>
      </x:c>
      <x:c r="C76" s="114" t="n">
        <x:v>3</x:v>
      </x:c>
      <x:c r="D76" s="37" t="str">
        <x:v>CVE Y3 P1</x:v>
      </x:c>
      <x:c r="E76" s="87" t="str">
        <x:v>CVE3221</x:v>
      </x:c>
      <x:c r="F76" s="97" t="str">
        <x:v>CVE3221</x:v>
      </x:c>
      <x:c r="G76" s="37" t="str">
        <x:v>Tutorial</x:v>
      </x:c>
      <x:c r="H76" s="114" t="n">
        <x:v>1</x:v>
      </x:c>
      <x:c r="I76" s="128" t="n">
        <x:v>2</x:v>
      </x:c>
      <x:c r="J76" s="114" t="n">
        <x:v>1</x:v>
      </x:c>
      <x:c r="K76" s="37" t="str">
        <x:v>Face-to-face</x:v>
      </x:c>
      <x:c r="L76" s="37" t="str">
        <x:v>Seminar Room</x:v>
      </x:c>
      <x:c r="M76" s="37" t="str">
        <x:v>Physical</x:v>
      </x:c>
      <x:c r="N76" s="114" t="n">
        <x:v>40</x:v>
      </x:c>
      <x:c r="O76" s="97" t="str">
        <x:v>HO JIAHUI</x:v>
      </x:c>
      <x:c r="P76" s="97" t="str">
        <x:v>EMP1653</x:v>
      </x:c>
      <x:c r="Q76" s="97"/>
      <x:c r="R76" s="97"/>
      <x:c r="S76" s="97"/>
      <x:c r="T76" s="97"/>
      <x:c r="U76" s="97"/>
      <x:c r="V76" s="37"/>
      <x:c r="W76" s="97" t="str">
        <x:v>Requirements Template CVE 5 May 25 -revised.xlsx</x:v>
      </x:c>
      <x:c r="X76" s="142" t="n">
        <x:v>25</x:v>
      </x:c>
    </x:row>
    <x:row r="77" ht="22" customHeight="1">
      <x:c r="A77" s="64" t="str">
        <x:v>REQ-CVE-CVE3222-LEC-01</x:v>
      </x:c>
      <x:c r="B77" s="78" t="str">
        <x:v>CVE</x:v>
      </x:c>
      <x:c r="C77" s="115" t="n">
        <x:v>3</x:v>
      </x:c>
      <x:c r="D77" s="41" t="str">
        <x:v>CVE Y3 P1</x:v>
      </x:c>
      <x:c r="E77" s="86" t="str">
        <x:v>CVE3222</x:v>
      </x:c>
      <x:c r="F77" s="98" t="str">
        <x:v>CVE3222</x:v>
      </x:c>
      <x:c r="G77" s="41" t="str">
        <x:v>Lecture</x:v>
      </x:c>
      <x:c r="H77" s="115" t="n">
        <x:v>1</x:v>
      </x:c>
      <x:c r="I77" s="129" t="n">
        <x:v>2</x:v>
      </x:c>
      <x:c r="J77" s="115" t="n">
        <x:v>1</x:v>
      </x:c>
      <x:c r="K77" s="41" t="str">
        <x:v>Face-to-face</x:v>
      </x:c>
      <x:c r="L77" s="41" t="str">
        <x:v>Lectorial</x:v>
      </x:c>
      <x:c r="M77" s="41" t="str">
        <x:v>Physical</x:v>
      </x:c>
      <x:c r="N77" s="115" t="n">
        <x:v>40</x:v>
      </x:c>
      <x:c r="O77" s="98" t="str">
        <x:v>KIM YONGMIN</x:v>
      </x:c>
      <x:c r="P77" s="98" t="str">
        <x:v>EMP1890</x:v>
      </x:c>
      <x:c r="Q77" s="98"/>
      <x:c r="R77" s="98"/>
      <x:c r="S77" s="98"/>
      <x:c r="T77" s="98"/>
      <x:c r="U77" s="98"/>
      <x:c r="V77" s="41"/>
      <x:c r="W77" s="98" t="str">
        <x:v>Requirements Template CVE 5 May 25 -revised.xlsx</x:v>
      </x:c>
      <x:c r="X77" s="143" t="n">
        <x:v>29</x:v>
      </x:c>
    </x:row>
    <x:row r="78" ht="22" customHeight="1">
      <x:c r="A78" s="65" t="str">
        <x:v>REQ-CVE-CVE3222-TUT-02</x:v>
      </x:c>
      <x:c r="B78" s="79" t="str">
        <x:v>CVE</x:v>
      </x:c>
      <x:c r="C78" s="116" t="n">
        <x:v>3</x:v>
      </x:c>
      <x:c r="D78" s="44" t="str">
        <x:v>CVE Y3 P1</x:v>
      </x:c>
      <x:c r="E78" s="87" t="str">
        <x:v>CVE3222</x:v>
      </x:c>
      <x:c r="F78" s="99" t="str">
        <x:v>CVE3222</x:v>
      </x:c>
      <x:c r="G78" s="44" t="str">
        <x:v>Tutorial</x:v>
      </x:c>
      <x:c r="H78" s="116" t="n">
        <x:v>1</x:v>
      </x:c>
      <x:c r="I78" s="126" t="n">
        <x:v>2</x:v>
      </x:c>
      <x:c r="J78" s="116" t="n">
        <x:v>1</x:v>
      </x:c>
      <x:c r="K78" s="44" t="str">
        <x:v>Face-to-face</x:v>
      </x:c>
      <x:c r="L78" s="44" t="str">
        <x:v>Seminar Room</x:v>
      </x:c>
      <x:c r="M78" s="44" t="str">
        <x:v>Physical</x:v>
      </x:c>
      <x:c r="N78" s="116" t="n">
        <x:v>40</x:v>
      </x:c>
      <x:c r="O78" s="99" t="str">
        <x:v>KIM YONGMIN</x:v>
      </x:c>
      <x:c r="P78" s="99" t="str">
        <x:v>EMP1890</x:v>
      </x:c>
      <x:c r="Q78" s="99"/>
      <x:c r="R78" s="99"/>
      <x:c r="S78" s="99"/>
      <x:c r="T78" s="99"/>
      <x:c r="U78" s="99"/>
      <x:c r="V78" s="44"/>
      <x:c r="W78" s="99" t="str">
        <x:v>Requirements Template CVE 5 May 25 -revised.xlsx</x:v>
      </x:c>
      <x:c r="X78" s="144" t="n">
        <x:v>30</x:v>
      </x:c>
    </x:row>
    <x:row r="79" ht="22" customHeight="1">
      <x:c r="A79" s="55" t="str">
        <x:v>REQ-DSC-DSC2203-LEC-01</x:v>
      </x:c>
      <x:c r="B79" s="69" t="str">
        <x:v>DSC</x:v>
      </x:c>
      <x:c r="C79" s="106" t="n">
        <x:v>2</x:v>
      </x:c>
      <x:c r="D79" s="10" t="str">
        <x:v>DSC Y2 P1</x:v>
      </x:c>
      <x:c r="E79" s="86" t="str">
        <x:v>DSC2203</x:v>
      </x:c>
      <x:c r="F79" s="89" t="str">
        <x:v>DSC2203</x:v>
      </x:c>
      <x:c r="G79" s="10" t="str">
        <x:v>Lecture</x:v>
      </x:c>
      <x:c r="H79" s="106" t="n">
        <x:v>1</x:v>
      </x:c>
      <x:c r="I79" s="120" t="n">
        <x:v>2</x:v>
      </x:c>
      <x:c r="J79" s="106" t="n">
        <x:v>1</x:v>
      </x:c>
      <x:c r="K79" s="103" t="str">
        <x:v>Online</x:v>
      </x:c>
      <x:c r="L79" s="103" t="str">
        <x:v>Virtual</x:v>
      </x:c>
      <x:c r="M79" s="103" t="str">
        <x:v>Virtual</x:v>
      </x:c>
      <x:c r="N79" s="106" t="n">
        <x:v>40</x:v>
      </x:c>
      <x:c r="O79" s="89" t="str">
        <x:v>YANG SHANSHAN</x:v>
      </x:c>
      <x:c r="P79" s="89" t="str">
        <x:v>EMP3183</x:v>
      </x:c>
      <x:c r="Q79" s="89"/>
      <x:c r="R79" s="89"/>
      <x:c r="S79" s="89"/>
      <x:c r="T79" s="89"/>
      <x:c r="U79" s="89"/>
      <x:c r="V79" s="10"/>
      <x:c r="W79" s="89" t="str">
        <x:v>2510_DSC.xlsx</x:v>
      </x:c>
      <x:c r="X79" s="134" t="n">
        <x:v>5</x:v>
      </x:c>
    </x:row>
    <x:row r="80" ht="22" customHeight="1">
      <x:c r="A80" s="56" t="str">
        <x:v>REQ-DSC-DSC2203-TUT-02</x:v>
      </x:c>
      <x:c r="B80" s="70" t="str">
        <x:v>DSC</x:v>
      </x:c>
      <x:c r="C80" s="107" t="n">
        <x:v>2</x:v>
      </x:c>
      <x:c r="D80" s="13" t="str">
        <x:v>DSC Y2 P1</x:v>
      </x:c>
      <x:c r="E80" s="87" t="str">
        <x:v>DSC2203</x:v>
      </x:c>
      <x:c r="F80" s="90" t="str">
        <x:v>DSC2203</x:v>
      </x:c>
      <x:c r="G80" s="13" t="str">
        <x:v>Tutorial</x:v>
      </x:c>
      <x:c r="H80" s="107" t="n">
        <x:v>1</x:v>
      </x:c>
      <x:c r="I80" s="121" t="n">
        <x:v>2</x:v>
      </x:c>
      <x:c r="J80" s="107" t="n">
        <x:v>1</x:v>
      </x:c>
      <x:c r="K80" s="13" t="str">
        <x:v>Face-to-face</x:v>
      </x:c>
      <x:c r="L80" s="13" t="str">
        <x:v>Seminar Room</x:v>
      </x:c>
      <x:c r="M80" s="13" t="str">
        <x:v>Physical</x:v>
      </x:c>
      <x:c r="N80" s="107" t="n">
        <x:v>40</x:v>
      </x:c>
      <x:c r="O80" s="90" t="str">
        <x:v>TAN MEOW LOONG</x:v>
      </x:c>
      <x:c r="P80" s="90" t="str">
        <x:v>EMP2852</x:v>
      </x:c>
      <x:c r="Q80" s="90"/>
      <x:c r="R80" s="90"/>
      <x:c r="S80" s="90"/>
      <x:c r="T80" s="90"/>
      <x:c r="U80" s="90"/>
      <x:c r="V80" s="13"/>
      <x:c r="W80" s="90" t="str">
        <x:v>2510_DSC.xlsx</x:v>
      </x:c>
      <x:c r="X80" s="135" t="n">
        <x:v>6</x:v>
      </x:c>
    </x:row>
    <x:row r="81" ht="22" customHeight="1">
      <x:c r="A81" s="57" t="str">
        <x:v>REQ-DSC-DSC3201-LEC-01</x:v>
      </x:c>
      <x:c r="B81" s="71" t="str">
        <x:v>DSC</x:v>
      </x:c>
      <x:c r="C81" s="108" t="n">
        <x:v>3</x:v>
      </x:c>
      <x:c r="D81" s="17" t="str">
        <x:v>DSC Y3 P1</x:v>
      </x:c>
      <x:c r="E81" s="86" t="str">
        <x:v>DSC3201</x:v>
      </x:c>
      <x:c r="F81" s="91" t="str">
        <x:v>DSC3201</x:v>
      </x:c>
      <x:c r="G81" s="17" t="str">
        <x:v>Lecture</x:v>
      </x:c>
      <x:c r="H81" s="108" t="n">
        <x:v>1</x:v>
      </x:c>
      <x:c r="I81" s="122" t="n">
        <x:v>2</x:v>
      </x:c>
      <x:c r="J81" s="108" t="n">
        <x:v>1</x:v>
      </x:c>
      <x:c r="K81" s="17" t="str">
        <x:v>Face-to-face</x:v>
      </x:c>
      <x:c r="L81" s="17" t="str">
        <x:v>Lectorial</x:v>
      </x:c>
      <x:c r="M81" s="17" t="str">
        <x:v>Physical</x:v>
      </x:c>
      <x:c r="N81" s="108" t="n">
        <x:v>40</x:v>
      </x:c>
      <x:c r="O81" s="91" t="str">
        <x:v>WANG FENGYU</x:v>
      </x:c>
      <x:c r="P81" s="91" t="str">
        <x:v>EMP3077</x:v>
      </x:c>
      <x:c r="Q81" s="91"/>
      <x:c r="R81" s="91"/>
      <x:c r="S81" s="91"/>
      <x:c r="T81" s="91"/>
      <x:c r="U81" s="91"/>
      <x:c r="V81" s="17"/>
      <x:c r="W81" s="91" t="str">
        <x:v>2510_DSC.xlsx</x:v>
      </x:c>
      <x:c r="X81" s="136" t="n">
        <x:v>13</x:v>
      </x:c>
    </x:row>
    <x:row r="82" ht="22" customHeight="1">
      <x:c r="A82" s="58" t="str">
        <x:v>REQ-DSC-DSC3201-TUT-02</x:v>
      </x:c>
      <x:c r="B82" s="72" t="str">
        <x:v>DSC</x:v>
      </x:c>
      <x:c r="C82" s="109" t="n">
        <x:v>3</x:v>
      </x:c>
      <x:c r="D82" s="20" t="str">
        <x:v>DSC Y3 P1</x:v>
      </x:c>
      <x:c r="E82" s="87" t="str">
        <x:v>DSC3201</x:v>
      </x:c>
      <x:c r="F82" s="92" t="str">
        <x:v>DSC3201</x:v>
      </x:c>
      <x:c r="G82" s="20" t="str">
        <x:v>Tutorial</x:v>
      </x:c>
      <x:c r="H82" s="109" t="n">
        <x:v>1</x:v>
      </x:c>
      <x:c r="I82" s="123" t="n">
        <x:v>2</x:v>
      </x:c>
      <x:c r="J82" s="109" t="n">
        <x:v>1</x:v>
      </x:c>
      <x:c r="K82" s="20" t="str">
        <x:v>Face-to-face</x:v>
      </x:c>
      <x:c r="L82" s="20" t="str">
        <x:v>Seminar Room</x:v>
      </x:c>
      <x:c r="M82" s="20" t="str">
        <x:v>Physical</x:v>
      </x:c>
      <x:c r="N82" s="109" t="n">
        <x:v>40</x:v>
      </x:c>
      <x:c r="O82" s="92" t="str">
        <x:v>TAN MEOW LOONG</x:v>
      </x:c>
      <x:c r="P82" s="92" t="str">
        <x:v>EMP2852</x:v>
      </x:c>
      <x:c r="Q82" s="92"/>
      <x:c r="R82" s="92"/>
      <x:c r="S82" s="92"/>
      <x:c r="T82" s="92"/>
      <x:c r="U82" s="92"/>
      <x:c r="V82" s="20"/>
      <x:c r="W82" s="92" t="str">
        <x:v>Requirements Template_ENG.xlsx + current admin module database</x:v>
      </x:c>
      <x:c r="X82" s="137" t="n">
        <x:v>172</x:v>
      </x:c>
    </x:row>
    <x:row r="83" ht="22" customHeight="1">
      <x:c r="A83" s="59" t="str">
        <x:v>REQ-DSC-DSC3202-WKS-01</x:v>
      </x:c>
      <x:c r="B83" s="73" t="str">
        <x:v>DSC</x:v>
      </x:c>
      <x:c r="C83" s="110" t="n">
        <x:v>3</x:v>
      </x:c>
      <x:c r="D83" s="24" t="str">
        <x:v>DSC Y3 P1</x:v>
      </x:c>
      <x:c r="E83" s="86" t="str">
        <x:v>DSC3202</x:v>
      </x:c>
      <x:c r="F83" s="93" t="str">
        <x:v>DSC3202</x:v>
      </x:c>
      <x:c r="G83" s="24" t="str">
        <x:v>Workshop</x:v>
      </x:c>
      <x:c r="H83" s="110" t="n">
        <x:v>1</x:v>
      </x:c>
      <x:c r="I83" s="124" t="n">
        <x:v>3</x:v>
      </x:c>
      <x:c r="J83" s="110" t="n">
        <x:v>1</x:v>
      </x:c>
      <x:c r="K83" s="24" t="str">
        <x:v>Face-to-face</x:v>
      </x:c>
      <x:c r="L83" s="24" t="str">
        <x:v>Seminar Room</x:v>
      </x:c>
      <x:c r="M83" s="24" t="str">
        <x:v>Physical</x:v>
      </x:c>
      <x:c r="N83" s="110" t="n">
        <x:v>40</x:v>
      </x:c>
      <x:c r="O83" s="93" t="str">
        <x:v>WANG FENGYU</x:v>
      </x:c>
      <x:c r="P83" s="93" t="str">
        <x:v>EMP3077</x:v>
      </x:c>
      <x:c r="Q83" s="93"/>
      <x:c r="R83" s="93"/>
      <x:c r="S83" s="93"/>
      <x:c r="T83" s="93"/>
      <x:c r="U83" s="93"/>
      <x:c r="V83" s="24"/>
      <x:c r="W83" s="93" t="str">
        <x:v>2510_DSC.xlsx</x:v>
      </x:c>
      <x:c r="X83" s="138" t="n">
        <x:v>21</x:v>
      </x:c>
    </x:row>
    <x:row r="84" ht="22" customHeight="1">
      <x:c r="A84" s="60" t="str">
        <x:v>REQ-DSC-DSC3202-SEM-02</x:v>
      </x:c>
      <x:c r="B84" s="74" t="str">
        <x:v>DSC</x:v>
      </x:c>
      <x:c r="C84" s="111" t="n">
        <x:v>3</x:v>
      </x:c>
      <x:c r="D84" s="27" t="str">
        <x:v>DSC Y3 P1</x:v>
      </x:c>
      <x:c r="E84" s="88" t="str">
        <x:v>DSC3202</x:v>
      </x:c>
      <x:c r="F84" s="94" t="str">
        <x:v>DSC3202</x:v>
      </x:c>
      <x:c r="G84" s="27" t="str">
        <x:v>Seminar</x:v>
      </x:c>
      <x:c r="H84" s="111" t="n">
        <x:v>1</x:v>
      </x:c>
      <x:c r="I84" s="125" t="n">
        <x:v>2</x:v>
      </x:c>
      <x:c r="J84" s="111" t="n">
        <x:v>1</x:v>
      </x:c>
      <x:c r="K84" s="27" t="str">
        <x:v>Face-to-face</x:v>
      </x:c>
      <x:c r="L84" s="27" t="str">
        <x:v>Seminar Room</x:v>
      </x:c>
      <x:c r="M84" s="27" t="str">
        <x:v>Physical</x:v>
      </x:c>
      <x:c r="N84" s="111" t="n">
        <x:v>40</x:v>
      </x:c>
      <x:c r="O84" s="94" t="str">
        <x:v>WANG FENGYU</x:v>
      </x:c>
      <x:c r="P84" s="94" t="str">
        <x:v>EMP3077</x:v>
      </x:c>
      <x:c r="Q84" s="94"/>
      <x:c r="R84" s="94"/>
      <x:c r="S84" s="94"/>
      <x:c r="T84" s="94"/>
      <x:c r="U84" s="94"/>
      <x:c r="V84" s="27"/>
      <x:c r="W84" s="94" t="str">
        <x:v>Requirements Template_ENG.xlsx + current admin module database</x:v>
      </x:c>
      <x:c r="X84" s="139" t="n">
        <x:v>173</x:v>
      </x:c>
    </x:row>
    <x:row r="85" ht="22" customHeight="1">
      <x:c r="A85" s="61" t="str">
        <x:v>REQ-DSC-DSC3202-QZ-03</x:v>
      </x:c>
      <x:c r="B85" s="75" t="str">
        <x:v>DSC</x:v>
      </x:c>
      <x:c r="C85" s="112" t="n">
        <x:v>3</x:v>
      </x:c>
      <x:c r="D85" s="30" t="str">
        <x:v>DSC Y3 P1</x:v>
      </x:c>
      <x:c r="E85" s="87" t="str">
        <x:v>DSC3202</x:v>
      </x:c>
      <x:c r="F85" s="95" t="str">
        <x:v>DSC3202</x:v>
      </x:c>
      <x:c r="G85" s="44" t="str">
        <x:v>Quiz</x:v>
      </x:c>
      <x:c r="H85" s="116" t="n">
        <x:v>1</x:v>
      </x:c>
      <x:c r="I85" s="126" t="n">
        <x:v>1</x:v>
      </x:c>
      <x:c r="J85" s="112" t="n">
        <x:v>1</x:v>
      </x:c>
      <x:c r="K85" s="30" t="str">
        <x:v>Face-to-face</x:v>
      </x:c>
      <x:c r="L85" s="30" t="str">
        <x:v>Lectorial</x:v>
      </x:c>
      <x:c r="M85" s="30" t="str">
        <x:v>Physical</x:v>
      </x:c>
      <x:c r="N85" s="112" t="n">
        <x:v>40</x:v>
      </x:c>
      <x:c r="O85" s="95" t="str">
        <x:v>WANG FENGYU</x:v>
      </x:c>
      <x:c r="P85" s="95" t="str">
        <x:v>EMP3077</x:v>
      </x:c>
      <x:c r="Q85" s="95"/>
      <x:c r="R85" s="95"/>
      <x:c r="S85" s="95"/>
      <x:c r="T85" s="95"/>
      <x:c r="U85" s="95"/>
      <x:c r="V85" s="30"/>
      <x:c r="W85" s="95" t="str">
        <x:v>Requirements Template_ENG.xlsx + current admin module database</x:v>
      </x:c>
      <x:c r="X85" s="140" t="n">
        <x:v>173</x:v>
      </x:c>
    </x:row>
    <x:row r="86" ht="22" customHeight="1">
      <x:c r="A86" s="62" t="str">
        <x:v>REQ-DSC-DSC3302-LEC-01</x:v>
      </x:c>
      <x:c r="B86" s="76" t="str">
        <x:v>DSC</x:v>
      </x:c>
      <x:c r="C86" s="113" t="n">
        <x:v>3</x:v>
      </x:c>
      <x:c r="D86" s="34" t="str">
        <x:v>DSC Y3 P1</x:v>
      </x:c>
      <x:c r="E86" s="86" t="str">
        <x:v>DSC3302</x:v>
      </x:c>
      <x:c r="F86" s="96" t="str">
        <x:v>DSC3302</x:v>
      </x:c>
      <x:c r="G86" s="34" t="str">
        <x:v>Lecture</x:v>
      </x:c>
      <x:c r="H86" s="113" t="n">
        <x:v>1</x:v>
      </x:c>
      <x:c r="I86" s="127" t="n">
        <x:v>2</x:v>
      </x:c>
      <x:c r="J86" s="113" t="n">
        <x:v>1</x:v>
      </x:c>
      <x:c r="K86" s="34" t="str">
        <x:v>Face-to-face</x:v>
      </x:c>
      <x:c r="L86" s="34" t="str">
        <x:v>Lectorial</x:v>
      </x:c>
      <x:c r="M86" s="34" t="str">
        <x:v>Physical</x:v>
      </x:c>
      <x:c r="N86" s="113" t="n">
        <x:v>40</x:v>
      </x:c>
      <x:c r="O86" s="96" t="str">
        <x:v>YANG SHANSHAN</x:v>
      </x:c>
      <x:c r="P86" s="96" t="str">
        <x:v>EMP3183</x:v>
      </x:c>
      <x:c r="Q86" s="96"/>
      <x:c r="R86" s="96"/>
      <x:c r="S86" s="96"/>
      <x:c r="T86" s="96"/>
      <x:c r="U86" s="96"/>
      <x:c r="V86" s="34"/>
      <x:c r="W86" s="96" t="str">
        <x:v>2510_DSC.xlsx</x:v>
      </x:c>
      <x:c r="X86" s="141" t="n">
        <x:v>5</x:v>
      </x:c>
    </x:row>
    <x:row r="87" ht="22" customHeight="1">
      <x:c r="A87" s="63" t="str">
        <x:v>REQ-DSC-DSC3302-TUT-02</x:v>
      </x:c>
      <x:c r="B87" s="77" t="str">
        <x:v>DSC</x:v>
      </x:c>
      <x:c r="C87" s="114" t="n">
        <x:v>3</x:v>
      </x:c>
      <x:c r="D87" s="37" t="str">
        <x:v>DSC Y3 P1</x:v>
      </x:c>
      <x:c r="E87" s="87" t="str">
        <x:v>DSC3302</x:v>
      </x:c>
      <x:c r="F87" s="97" t="str">
        <x:v>DSC3302</x:v>
      </x:c>
      <x:c r="G87" s="37" t="str">
        <x:v>Tutorial</x:v>
      </x:c>
      <x:c r="H87" s="114" t="n">
        <x:v>1</x:v>
      </x:c>
      <x:c r="I87" s="128" t="n">
        <x:v>2</x:v>
      </x:c>
      <x:c r="J87" s="114" t="n">
        <x:v>1</x:v>
      </x:c>
      <x:c r="K87" s="37" t="str">
        <x:v>Face-to-face</x:v>
      </x:c>
      <x:c r="L87" s="37" t="str">
        <x:v>Seminar Room</x:v>
      </x:c>
      <x:c r="M87" s="37" t="str">
        <x:v>Physical</x:v>
      </x:c>
      <x:c r="N87" s="114" t="n">
        <x:v>40</x:v>
      </x:c>
      <x:c r="O87" s="97" t="str">
        <x:v>TAN MEOW LOONG</x:v>
      </x:c>
      <x:c r="P87" s="97" t="str">
        <x:v>EMP2852</x:v>
      </x:c>
      <x:c r="Q87" s="97"/>
      <x:c r="R87" s="97"/>
      <x:c r="S87" s="97"/>
      <x:c r="T87" s="97"/>
      <x:c r="U87" s="97"/>
      <x:c r="V87" s="37"/>
      <x:c r="W87" s="97" t="str">
        <x:v>2510_DSC.xlsx</x:v>
      </x:c>
      <x:c r="X87" s="142" t="n">
        <x:v>6</x:v>
      </x:c>
    </x:row>
    <x:row r="88" ht="22" customHeight="1">
      <x:c r="A88" s="64" t="str">
        <x:v>REQ-DSC-DSC3303-LEC-01</x:v>
      </x:c>
      <x:c r="B88" s="78" t="str">
        <x:v>DSC</x:v>
      </x:c>
      <x:c r="C88" s="115" t="n">
        <x:v>3</x:v>
      </x:c>
      <x:c r="D88" s="41" t="str">
        <x:v>DSC Y3 P1</x:v>
      </x:c>
      <x:c r="E88" s="86" t="str">
        <x:v>DSC3303</x:v>
      </x:c>
      <x:c r="F88" s="98" t="str">
        <x:v>DSC3303</x:v>
      </x:c>
      <x:c r="G88" s="41" t="str">
        <x:v>Lecture</x:v>
      </x:c>
      <x:c r="H88" s="115" t="n">
        <x:v>1</x:v>
      </x:c>
      <x:c r="I88" s="129" t="n">
        <x:v>2</x:v>
      </x:c>
      <x:c r="J88" s="115" t="n">
        <x:v>1</x:v>
      </x:c>
      <x:c r="K88" s="41" t="str">
        <x:v>Face-to-face</x:v>
      </x:c>
      <x:c r="L88" s="41" t="str">
        <x:v>Lectorial</x:v>
      </x:c>
      <x:c r="M88" s="41" t="str">
        <x:v>Physical</x:v>
      </x:c>
      <x:c r="N88" s="115" t="n">
        <x:v>40</x:v>
      </x:c>
      <x:c r="O88" s="98" t="str">
        <x:v>WANG FENGYU</x:v>
      </x:c>
      <x:c r="P88" s="98" t="str">
        <x:v>EMP3077</x:v>
      </x:c>
      <x:c r="Q88" s="98"/>
      <x:c r="R88" s="98"/>
      <x:c r="S88" s="98"/>
      <x:c r="T88" s="98"/>
      <x:c r="U88" s="98"/>
      <x:c r="V88" s="41"/>
      <x:c r="W88" s="98" t="str">
        <x:v>2510_DSC.xlsx</x:v>
      </x:c>
      <x:c r="X88" s="143" t="n">
        <x:v>13</x:v>
      </x:c>
    </x:row>
    <x:row r="89" ht="22" customHeight="1">
      <x:c r="A89" s="65" t="str">
        <x:v>REQ-DSC-DSC3303-TUT-02</x:v>
      </x:c>
      <x:c r="B89" s="79" t="str">
        <x:v>DSC</x:v>
      </x:c>
      <x:c r="C89" s="116" t="n">
        <x:v>3</x:v>
      </x:c>
      <x:c r="D89" s="44" t="str">
        <x:v>DSC Y3 P1</x:v>
      </x:c>
      <x:c r="E89" s="87" t="str">
        <x:v>DSC3303</x:v>
      </x:c>
      <x:c r="F89" s="99" t="str">
        <x:v>DSC3303</x:v>
      </x:c>
      <x:c r="G89" s="44" t="str">
        <x:v>Tutorial</x:v>
      </x:c>
      <x:c r="H89" s="116" t="n">
        <x:v>1</x:v>
      </x:c>
      <x:c r="I89" s="126" t="n">
        <x:v>2</x:v>
      </x:c>
      <x:c r="J89" s="116" t="n">
        <x:v>1</x:v>
      </x:c>
      <x:c r="K89" s="44" t="str">
        <x:v>Face-to-face</x:v>
      </x:c>
      <x:c r="L89" s="44" t="str">
        <x:v>Seminar Room</x:v>
      </x:c>
      <x:c r="M89" s="44" t="str">
        <x:v>Physical</x:v>
      </x:c>
      <x:c r="N89" s="116" t="n">
        <x:v>40</x:v>
      </x:c>
      <x:c r="O89" s="99" t="str">
        <x:v>TAN MEOW LOONG</x:v>
      </x:c>
      <x:c r="P89" s="99" t="str">
        <x:v>EMP2852</x:v>
      </x:c>
      <x:c r="Q89" s="99"/>
      <x:c r="R89" s="99"/>
      <x:c r="S89" s="99"/>
      <x:c r="T89" s="99"/>
      <x:c r="U89" s="99"/>
      <x:c r="V89" s="44"/>
      <x:c r="W89" s="99" t="str">
        <x:v>Requirements Template_ENG.xlsx + current admin module database</x:v>
      </x:c>
      <x:c r="X89" s="144" t="n">
        <x:v>175</x:v>
      </x:c>
    </x:row>
    <x:row r="90" ht="22" customHeight="1">
      <x:c r="A90" s="55" t="str">
        <x:v>REQ-EDE-EDE1021-LEC-01</x:v>
      </x:c>
      <x:c r="B90" s="69" t="str">
        <x:v>EDE</x:v>
      </x:c>
      <x:c r="C90" s="106" t="n">
        <x:v>1</x:v>
      </x:c>
      <x:c r="D90" s="10" t="str">
        <x:v>EDE Y1 P1</x:v>
      </x:c>
      <x:c r="E90" s="86" t="str">
        <x:v>EDE1021</x:v>
      </x:c>
      <x:c r="F90" s="89" t="str">
        <x:v>EDE1021</x:v>
      </x:c>
      <x:c r="G90" s="10" t="str">
        <x:v>Lecture</x:v>
      </x:c>
      <x:c r="H90" s="106" t="n">
        <x:v>1</x:v>
      </x:c>
      <x:c r="I90" s="120" t="n">
        <x:v>2</x:v>
      </x:c>
      <x:c r="J90" s="106" t="n">
        <x:v>1</x:v>
      </x:c>
      <x:c r="K90" s="10" t="str">
        <x:v>Face-to-face</x:v>
      </x:c>
      <x:c r="L90" s="10" t="str">
        <x:v>Lectorial</x:v>
      </x:c>
      <x:c r="M90" s="10" t="str">
        <x:v>Physical</x:v>
      </x:c>
      <x:c r="N90" s="106" t="n">
        <x:v>40</x:v>
      </x:c>
      <x:c r="O90" s="89" t="str">
        <x:v>TEH YONG LIANG</x:v>
      </x:c>
      <x:c r="P90" s="89" t="str">
        <x:v>EMP2940</x:v>
      </x:c>
      <x:c r="Q90" s="89"/>
      <x:c r="R90" s="89"/>
      <x:c r="S90" s="89"/>
      <x:c r="T90" s="89"/>
      <x:c r="U90" s="89"/>
      <x:c r="V90" s="10"/>
      <x:c r="W90" s="89" t="str">
        <x:v>EDE Requirements Template_20 May 2025_2510 _V.xlsx</x:v>
      </x:c>
      <x:c r="X90" s="134" t="n">
        <x:v>9</x:v>
      </x:c>
    </x:row>
    <x:row r="91" ht="22" customHeight="1">
      <x:c r="A91" s="66" t="str">
        <x:v>REQ-EDE-EDE1021-TUT-02</x:v>
      </x:c>
      <x:c r="B91" s="80" t="str">
        <x:v>EDE</x:v>
      </x:c>
      <x:c r="C91" s="117" t="n">
        <x:v>1</x:v>
      </x:c>
      <x:c r="D91" s="47" t="str">
        <x:v>EDE Y1 P1</x:v>
      </x:c>
      <x:c r="E91" s="88" t="str">
        <x:v>EDE1021</x:v>
      </x:c>
      <x:c r="F91" s="100" t="str">
        <x:v>EDE1021</x:v>
      </x:c>
      <x:c r="G91" s="47" t="str">
        <x:v>Tutorial</x:v>
      </x:c>
      <x:c r="H91" s="117" t="n">
        <x:v>1</x:v>
      </x:c>
      <x:c r="I91" s="130" t="n">
        <x:v>2</x:v>
      </x:c>
      <x:c r="J91" s="117" t="n">
        <x:v>1</x:v>
      </x:c>
      <x:c r="K91" s="47" t="str">
        <x:v>Face-to-face</x:v>
      </x:c>
      <x:c r="L91" s="47" t="str">
        <x:v>Seminar Room</x:v>
      </x:c>
      <x:c r="M91" s="47" t="str">
        <x:v>Physical</x:v>
      </x:c>
      <x:c r="N91" s="117" t="n">
        <x:v>40</x:v>
      </x:c>
      <x:c r="O91" s="100" t="str">
        <x:v>TEH YONG LIANG</x:v>
      </x:c>
      <x:c r="P91" s="100" t="str">
        <x:v>EMP2940</x:v>
      </x:c>
      <x:c r="Q91" s="100"/>
      <x:c r="R91" s="100"/>
      <x:c r="S91" s="100"/>
      <x:c r="T91" s="100"/>
      <x:c r="U91" s="100"/>
      <x:c r="V91" s="47"/>
      <x:c r="W91" s="100" t="str">
        <x:v>EDE Requirements Template_20 May 2025_2510 _V.xlsx</x:v>
      </x:c>
      <x:c r="X91" s="145" t="n">
        <x:v>10</x:v>
      </x:c>
    </x:row>
    <x:row r="92" ht="22" customHeight="1">
      <x:c r="A92" s="56" t="str">
        <x:v>REQ-EDE-EDE1021-QZ-03</x:v>
      </x:c>
      <x:c r="B92" s="70" t="str">
        <x:v>EDE</x:v>
      </x:c>
      <x:c r="C92" s="107" t="n">
        <x:v>1</x:v>
      </x:c>
      <x:c r="D92" s="13" t="str">
        <x:v>EDE Y1 P1</x:v>
      </x:c>
      <x:c r="E92" s="87" t="str">
        <x:v>EDE1021</x:v>
      </x:c>
      <x:c r="F92" s="90" t="str">
        <x:v>EDE1021</x:v>
      </x:c>
      <x:c r="G92" s="44" t="str">
        <x:v>Quiz</x:v>
      </x:c>
      <x:c r="H92" s="116" t="n">
        <x:v>1</x:v>
      </x:c>
      <x:c r="I92" s="126" t="n">
        <x:v>1</x:v>
      </x:c>
      <x:c r="J92" s="107" t="n">
        <x:v>1</x:v>
      </x:c>
      <x:c r="K92" s="13" t="str">
        <x:v>Face-to-face</x:v>
      </x:c>
      <x:c r="L92" s="13" t="str">
        <x:v>Lectorial</x:v>
      </x:c>
      <x:c r="M92" s="13" t="str">
        <x:v>Physical</x:v>
      </x:c>
      <x:c r="N92" s="107" t="n">
        <x:v>40</x:v>
      </x:c>
      <x:c r="O92" s="90" t="str">
        <x:v>TEH YONG LIANG</x:v>
      </x:c>
      <x:c r="P92" s="90" t="str">
        <x:v>EMP2940</x:v>
      </x:c>
      <x:c r="Q92" s="90"/>
      <x:c r="R92" s="90"/>
      <x:c r="S92" s="90"/>
      <x:c r="T92" s="90"/>
      <x:c r="U92" s="90"/>
      <x:c r="V92" s="13"/>
      <x:c r="W92" s="90" t="str">
        <x:v>EDE Requirements Template_20 May 2025_2510 _V.xlsx</x:v>
      </x:c>
      <x:c r="X92" s="135" t="n">
        <x:v>11</x:v>
      </x:c>
    </x:row>
    <x:row r="93" ht="22" customHeight="1">
      <x:c r="A93" s="57" t="str">
        <x:v>REQ-EDE-EDE1022-LEC-01</x:v>
      </x:c>
      <x:c r="B93" s="71" t="str">
        <x:v>EDE</x:v>
      </x:c>
      <x:c r="C93" s="108" t="n">
        <x:v>1</x:v>
      </x:c>
      <x:c r="D93" s="17" t="str">
        <x:v>EDE Y1 P1</x:v>
      </x:c>
      <x:c r="E93" s="86" t="str">
        <x:v>EDE1022</x:v>
      </x:c>
      <x:c r="F93" s="91" t="str">
        <x:v>EDE1022</x:v>
      </x:c>
      <x:c r="G93" s="17" t="str">
        <x:v>Lecture</x:v>
      </x:c>
      <x:c r="H93" s="108" t="n">
        <x:v>1</x:v>
      </x:c>
      <x:c r="I93" s="122" t="n">
        <x:v>2</x:v>
      </x:c>
      <x:c r="J93" s="108" t="n">
        <x:v>1</x:v>
      </x:c>
      <x:c r="K93" s="17" t="str">
        <x:v>Face-to-face</x:v>
      </x:c>
      <x:c r="L93" s="17" t="str">
        <x:v>Lectorial</x:v>
      </x:c>
      <x:c r="M93" s="17" t="str">
        <x:v>Physical</x:v>
      </x:c>
      <x:c r="N93" s="108" t="n">
        <x:v>40</x:v>
      </x:c>
      <x:c r="O93" s="91" t="str">
        <x:v>LEE SIEW WENG</x:v>
      </x:c>
      <x:c r="P93" s="91" t="str">
        <x:v>EMP2015</x:v>
      </x:c>
      <x:c r="Q93" s="91"/>
      <x:c r="R93" s="91"/>
      <x:c r="S93" s="91"/>
      <x:c r="T93" s="91"/>
      <x:c r="U93" s="91"/>
      <x:c r="V93" s="17"/>
      <x:c r="W93" s="91" t="str">
        <x:v>EDE Requirements Template_20 May 2025_2510 _V.xlsx</x:v>
      </x:c>
      <x:c r="X93" s="136" t="n">
        <x:v>12</x:v>
      </x:c>
    </x:row>
    <x:row r="94" ht="22" customHeight="1">
      <x:c r="A94" s="58" t="str">
        <x:v>REQ-EDE-EDE1022-TUT-02</x:v>
      </x:c>
      <x:c r="B94" s="72" t="str">
        <x:v>EDE</x:v>
      </x:c>
      <x:c r="C94" s="109" t="n">
        <x:v>1</x:v>
      </x:c>
      <x:c r="D94" s="20" t="str">
        <x:v>EDE Y1 P1</x:v>
      </x:c>
      <x:c r="E94" s="87" t="str">
        <x:v>EDE1022</x:v>
      </x:c>
      <x:c r="F94" s="92" t="str">
        <x:v>EDE1022</x:v>
      </x:c>
      <x:c r="G94" s="20" t="str">
        <x:v>Tutorial</x:v>
      </x:c>
      <x:c r="H94" s="109" t="n">
        <x:v>1</x:v>
      </x:c>
      <x:c r="I94" s="123" t="n">
        <x:v>2</x:v>
      </x:c>
      <x:c r="J94" s="109" t="n">
        <x:v>1</x:v>
      </x:c>
      <x:c r="K94" s="20" t="str">
        <x:v>Face-to-face</x:v>
      </x:c>
      <x:c r="L94" s="20" t="str">
        <x:v>Seminar Room</x:v>
      </x:c>
      <x:c r="M94" s="20" t="str">
        <x:v>Physical</x:v>
      </x:c>
      <x:c r="N94" s="109" t="n">
        <x:v>40</x:v>
      </x:c>
      <x:c r="O94" s="92" t="str">
        <x:v>LEE SIEW WENG</x:v>
      </x:c>
      <x:c r="P94" s="92" t="str">
        <x:v>EMP2015</x:v>
      </x:c>
      <x:c r="Q94" s="92"/>
      <x:c r="R94" s="92"/>
      <x:c r="S94" s="92"/>
      <x:c r="T94" s="92"/>
      <x:c r="U94" s="92"/>
      <x:c r="V94" s="20"/>
      <x:c r="W94" s="92" t="str">
        <x:v>EDE Requirements Template_20 May 2025_2510 _V.xlsx</x:v>
      </x:c>
      <x:c r="X94" s="137" t="n">
        <x:v>13</x:v>
      </x:c>
    </x:row>
    <x:row r="95" ht="22" customHeight="1">
      <x:c r="A95" s="59" t="str">
        <x:v>REQ-EDE-EDE1023-LEC-01</x:v>
      </x:c>
      <x:c r="B95" s="73" t="str">
        <x:v>EDE</x:v>
      </x:c>
      <x:c r="C95" s="110" t="n">
        <x:v>1</x:v>
      </x:c>
      <x:c r="D95" s="24" t="str">
        <x:v>EDE Y1 P1</x:v>
      </x:c>
      <x:c r="E95" s="86" t="str">
        <x:v>EDE1023</x:v>
      </x:c>
      <x:c r="F95" s="93" t="str">
        <x:v>EDE1023</x:v>
      </x:c>
      <x:c r="G95" s="24" t="str">
        <x:v>Lecture</x:v>
      </x:c>
      <x:c r="H95" s="110" t="n">
        <x:v>1</x:v>
      </x:c>
      <x:c r="I95" s="124" t="n">
        <x:v>2</x:v>
      </x:c>
      <x:c r="J95" s="110" t="n">
        <x:v>1</x:v>
      </x:c>
      <x:c r="K95" s="24" t="str">
        <x:v>Face-to-face</x:v>
      </x:c>
      <x:c r="L95" s="24" t="str">
        <x:v>Lectorial</x:v>
      </x:c>
      <x:c r="M95" s="24" t="str">
        <x:v>Physical</x:v>
      </x:c>
      <x:c r="N95" s="110" t="n">
        <x:v>40</x:v>
      </x:c>
      <x:c r="O95" s="93" t="str">
        <x:v>TEH YONG LIANG</x:v>
      </x:c>
      <x:c r="P95" s="93" t="str">
        <x:v>EMP2940</x:v>
      </x:c>
      <x:c r="Q95" s="93"/>
      <x:c r="R95" s="93"/>
      <x:c r="S95" s="93"/>
      <x:c r="T95" s="93"/>
      <x:c r="U95" s="93"/>
      <x:c r="V95" s="24"/>
      <x:c r="W95" s="93" t="str">
        <x:v>EDE Requirements Template_20 May 2025_2510 _V.xlsx</x:v>
      </x:c>
      <x:c r="X95" s="138" t="n">
        <x:v>16</x:v>
      </x:c>
    </x:row>
    <x:row r="96" ht="22" customHeight="1">
      <x:c r="A96" s="61" t="str">
        <x:v>REQ-EDE-EDE1023-TUT-02</x:v>
      </x:c>
      <x:c r="B96" s="75" t="str">
        <x:v>EDE</x:v>
      </x:c>
      <x:c r="C96" s="112" t="n">
        <x:v>1</x:v>
      </x:c>
      <x:c r="D96" s="30" t="str">
        <x:v>EDE Y1 P1</x:v>
      </x:c>
      <x:c r="E96" s="87" t="str">
        <x:v>EDE1023</x:v>
      </x:c>
      <x:c r="F96" s="95" t="str">
        <x:v>EDE1023</x:v>
      </x:c>
      <x:c r="G96" s="30" t="str">
        <x:v>Tutorial</x:v>
      </x:c>
      <x:c r="H96" s="112" t="n">
        <x:v>1</x:v>
      </x:c>
      <x:c r="I96" s="131" t="n">
        <x:v>2</x:v>
      </x:c>
      <x:c r="J96" s="112" t="n">
        <x:v>1</x:v>
      </x:c>
      <x:c r="K96" s="30" t="str">
        <x:v>Face-to-face</x:v>
      </x:c>
      <x:c r="L96" s="30" t="str">
        <x:v>Seminar Room</x:v>
      </x:c>
      <x:c r="M96" s="30" t="str">
        <x:v>Physical</x:v>
      </x:c>
      <x:c r="N96" s="112" t="n">
        <x:v>40</x:v>
      </x:c>
      <x:c r="O96" s="95" t="str">
        <x:v>TEH YONG LIANG</x:v>
      </x:c>
      <x:c r="P96" s="95" t="str">
        <x:v>EMP2940</x:v>
      </x:c>
      <x:c r="Q96" s="95"/>
      <x:c r="R96" s="95"/>
      <x:c r="S96" s="95"/>
      <x:c r="T96" s="95"/>
      <x:c r="U96" s="95"/>
      <x:c r="V96" s="30"/>
      <x:c r="W96" s="95" t="str">
        <x:v>EDE Requirements Template_20 May 2025_2510 _V.xlsx</x:v>
      </x:c>
      <x:c r="X96" s="140" t="n">
        <x:v>18</x:v>
      </x:c>
    </x:row>
    <x:row r="97" ht="22" customHeight="1">
      <x:c r="A97" s="62" t="str">
        <x:v>REQ-EDE-EDE1024-LEC-01</x:v>
      </x:c>
      <x:c r="B97" s="76" t="str">
        <x:v>EDE</x:v>
      </x:c>
      <x:c r="C97" s="113" t="n">
        <x:v>1</x:v>
      </x:c>
      <x:c r="D97" s="34" t="str">
        <x:v>EDE Y1 P1</x:v>
      </x:c>
      <x:c r="E97" s="86" t="str">
        <x:v>EDE1024</x:v>
      </x:c>
      <x:c r="F97" s="96" t="str">
        <x:v>EDE1024</x:v>
      </x:c>
      <x:c r="G97" s="34" t="str">
        <x:v>Lecture</x:v>
      </x:c>
      <x:c r="H97" s="113" t="n">
        <x:v>1</x:v>
      </x:c>
      <x:c r="I97" s="127" t="n">
        <x:v>2</x:v>
      </x:c>
      <x:c r="J97" s="113" t="n">
        <x:v>1</x:v>
      </x:c>
      <x:c r="K97" s="34" t="str">
        <x:v>Face-to-face</x:v>
      </x:c>
      <x:c r="L97" s="34" t="str">
        <x:v>Lectorial</x:v>
      </x:c>
      <x:c r="M97" s="34" t="str">
        <x:v>Physical</x:v>
      </x:c>
      <x:c r="N97" s="113" t="n">
        <x:v>40</x:v>
      </x:c>
      <x:c r="O97" s="96" t="str">
        <x:v>LAM KUET LEONG</x:v>
      </x:c>
      <x:c r="P97" s="96" t="str">
        <x:v>EMP1957</x:v>
      </x:c>
      <x:c r="Q97" s="96"/>
      <x:c r="R97" s="96"/>
      <x:c r="S97" s="96"/>
      <x:c r="T97" s="96"/>
      <x:c r="U97" s="96"/>
      <x:c r="V97" s="34"/>
      <x:c r="W97" s="96" t="str">
        <x:v>EDE Requirements Template_20 May 2025_2510 _V.xlsx</x:v>
      </x:c>
      <x:c r="X97" s="141" t="n">
        <x:v>20</x:v>
      </x:c>
    </x:row>
    <x:row r="98" ht="22" customHeight="1">
      <x:c r="A98" s="63" t="str">
        <x:v>REQ-EDE-EDE1024-TUT-02</x:v>
      </x:c>
      <x:c r="B98" s="77" t="str">
        <x:v>EDE</x:v>
      </x:c>
      <x:c r="C98" s="114" t="n">
        <x:v>1</x:v>
      </x:c>
      <x:c r="D98" s="37" t="str">
        <x:v>EDE Y1 P1</x:v>
      </x:c>
      <x:c r="E98" s="87" t="str">
        <x:v>EDE1024</x:v>
      </x:c>
      <x:c r="F98" s="97" t="str">
        <x:v>EDE1024</x:v>
      </x:c>
      <x:c r="G98" s="37" t="str">
        <x:v>Tutorial</x:v>
      </x:c>
      <x:c r="H98" s="114" t="n">
        <x:v>1</x:v>
      </x:c>
      <x:c r="I98" s="128" t="n">
        <x:v>2</x:v>
      </x:c>
      <x:c r="J98" s="114" t="n">
        <x:v>1</x:v>
      </x:c>
      <x:c r="K98" s="37" t="str">
        <x:v>Face-to-face</x:v>
      </x:c>
      <x:c r="L98" s="37" t="str">
        <x:v>Seminar Room</x:v>
      </x:c>
      <x:c r="M98" s="37" t="str">
        <x:v>Physical</x:v>
      </x:c>
      <x:c r="N98" s="114" t="n">
        <x:v>40</x:v>
      </x:c>
      <x:c r="O98" s="97" t="str">
        <x:v>XIANG NING</x:v>
      </x:c>
      <x:c r="P98" s="97" t="str">
        <x:v>EMP3159</x:v>
      </x:c>
      <x:c r="Q98" s="97"/>
      <x:c r="R98" s="97"/>
      <x:c r="S98" s="97"/>
      <x:c r="T98" s="97"/>
      <x:c r="U98" s="97"/>
      <x:c r="V98" s="37"/>
      <x:c r="W98" s="97" t="str">
        <x:v>Requirements Template_ENG.xlsx + current admin module database</x:v>
      </x:c>
      <x:c r="X98" s="142" t="n">
        <x:v>187</x:v>
      </x:c>
    </x:row>
    <x:row r="99" ht="22" customHeight="1">
      <x:c r="A99" s="64" t="str">
        <x:v>REQ-EDE-EDE2021-LEC-01</x:v>
      </x:c>
      <x:c r="B99" s="78" t="str">
        <x:v>EDE</x:v>
      </x:c>
      <x:c r="C99" s="115" t="n">
        <x:v>2</x:v>
      </x:c>
      <x:c r="D99" s="41" t="str">
        <x:v>EDE Y2 P1</x:v>
      </x:c>
      <x:c r="E99" s="86" t="str">
        <x:v>EDE2021</x:v>
      </x:c>
      <x:c r="F99" s="98" t="str">
        <x:v>EDE2021</x:v>
      </x:c>
      <x:c r="G99" s="41" t="str">
        <x:v>Lecture</x:v>
      </x:c>
      <x:c r="H99" s="115" t="n">
        <x:v>1</x:v>
      </x:c>
      <x:c r="I99" s="129" t="n">
        <x:v>2</x:v>
      </x:c>
      <x:c r="J99" s="115" t="n">
        <x:v>1</x:v>
      </x:c>
      <x:c r="K99" s="41" t="str">
        <x:v>Face-to-face</x:v>
      </x:c>
      <x:c r="L99" s="41" t="str">
        <x:v>Lectorial</x:v>
      </x:c>
      <x:c r="M99" s="41" t="str">
        <x:v>Physical</x:v>
      </x:c>
      <x:c r="N99" s="115" t="n">
        <x:v>40</x:v>
      </x:c>
      <x:c r="O99" s="98" t="str">
        <x:v>XIANG NING</x:v>
      </x:c>
      <x:c r="P99" s="98" t="str">
        <x:v>EMP3159</x:v>
      </x:c>
      <x:c r="Q99" s="98"/>
      <x:c r="R99" s="98"/>
      <x:c r="S99" s="98"/>
      <x:c r="T99" s="98"/>
      <x:c r="U99" s="98"/>
      <x:c r="V99" s="41"/>
      <x:c r="W99" s="98" t="str">
        <x:v>EDE Requirements Template_20 May 2025_2510 _V.xlsx</x:v>
      </x:c>
      <x:c r="X99" s="143" t="n">
        <x:v>21</x:v>
      </x:c>
    </x:row>
    <x:row r="100" ht="22" customHeight="1">
      <x:c r="A100" s="65" t="str">
        <x:v>REQ-EDE-EDE2021-TUT-02</x:v>
      </x:c>
      <x:c r="B100" s="79" t="str">
        <x:v>EDE</x:v>
      </x:c>
      <x:c r="C100" s="116" t="n">
        <x:v>2</x:v>
      </x:c>
      <x:c r="D100" s="44" t="str">
        <x:v>EDE Y2 P1</x:v>
      </x:c>
      <x:c r="E100" s="87" t="str">
        <x:v>EDE2021</x:v>
      </x:c>
      <x:c r="F100" s="99" t="str">
        <x:v>EDE2021</x:v>
      </x:c>
      <x:c r="G100" s="44" t="str">
        <x:v>Tutorial</x:v>
      </x:c>
      <x:c r="H100" s="116" t="n">
        <x:v>1</x:v>
      </x:c>
      <x:c r="I100" s="126" t="n">
        <x:v>2</x:v>
      </x:c>
      <x:c r="J100" s="116" t="n">
        <x:v>1</x:v>
      </x:c>
      <x:c r="K100" s="44" t="str">
        <x:v>Face-to-face</x:v>
      </x:c>
      <x:c r="L100" s="44" t="str">
        <x:v>Seminar Room</x:v>
      </x:c>
      <x:c r="M100" s="44" t="str">
        <x:v>Physical</x:v>
      </x:c>
      <x:c r="N100" s="116" t="n">
        <x:v>40</x:v>
      </x:c>
      <x:c r="O100" s="99" t="str">
        <x:v>XIANG NING</x:v>
      </x:c>
      <x:c r="P100" s="99" t="str">
        <x:v>EMP3159</x:v>
      </x:c>
      <x:c r="Q100" s="99"/>
      <x:c r="R100" s="99"/>
      <x:c r="S100" s="99"/>
      <x:c r="T100" s="99"/>
      <x:c r="U100" s="99"/>
      <x:c r="V100" s="44"/>
      <x:c r="W100" s="99" t="str">
        <x:v>EDE Requirements Template_20 May 2025_2510 _V.xlsx</x:v>
      </x:c>
      <x:c r="X100" s="144" t="n">
        <x:v>23</x:v>
      </x:c>
    </x:row>
    <x:row r="101" ht="22" customHeight="1">
      <x:c r="A101" s="55" t="str">
        <x:v>REQ-EPE-EPE1301-LEC-01</x:v>
      </x:c>
      <x:c r="B101" s="69" t="str">
        <x:v>EPE</x:v>
      </x:c>
      <x:c r="C101" s="106" t="n">
        <x:v>1</x:v>
      </x:c>
      <x:c r="D101" s="10" t="str">
        <x:v>EPE Y1 P1</x:v>
      </x:c>
      <x:c r="E101" s="86" t="str">
        <x:v>EPE1301</x:v>
      </x:c>
      <x:c r="F101" s="89" t="str">
        <x:v>EPE1301</x:v>
      </x:c>
      <x:c r="G101" s="10" t="str">
        <x:v>Lecture</x:v>
      </x:c>
      <x:c r="H101" s="106" t="n">
        <x:v>1</x:v>
      </x:c>
      <x:c r="I101" s="120" t="n">
        <x:v>2</x:v>
      </x:c>
      <x:c r="J101" s="106" t="n">
        <x:v>1</x:v>
      </x:c>
      <x:c r="K101" s="103" t="str">
        <x:v>Online</x:v>
      </x:c>
      <x:c r="L101" s="103" t="str">
        <x:v>Virtual</x:v>
      </x:c>
      <x:c r="M101" s="103" t="str">
        <x:v>Virtual</x:v>
      </x:c>
      <x:c r="N101" s="106" t="n">
        <x:v>40</x:v>
      </x:c>
      <x:c r="O101" s="89" t="str">
        <x:v>TAN RUI ZHEN</x:v>
      </x:c>
      <x:c r="P101" s="89" t="str">
        <x:v>EMP2860</x:v>
      </x:c>
      <x:c r="Q101" s="89"/>
      <x:c r="R101" s="89"/>
      <x:c r="S101" s="89"/>
      <x:c r="T101" s="89"/>
      <x:c r="U101" s="89"/>
      <x:c r="V101" s="10"/>
      <x:c r="W101" s="89" t="str">
        <x:v>EPE_Year 1.xlsx</x:v>
      </x:c>
      <x:c r="X101" s="134" t="n">
        <x:v>4</x:v>
      </x:c>
    </x:row>
    <x:row r="102" ht="22" customHeight="1">
      <x:c r="A102" s="66" t="str">
        <x:v>REQ-EPE-EPE1301-TUT-02</x:v>
      </x:c>
      <x:c r="B102" s="80" t="str">
        <x:v>EPE</x:v>
      </x:c>
      <x:c r="C102" s="117" t="n">
        <x:v>1</x:v>
      </x:c>
      <x:c r="D102" s="47" t="str">
        <x:v>EPE Y1 P1</x:v>
      </x:c>
      <x:c r="E102" s="88" t="str">
        <x:v>EPE1301</x:v>
      </x:c>
      <x:c r="F102" s="100" t="str">
        <x:v>EPE1301</x:v>
      </x:c>
      <x:c r="G102" s="47" t="str">
        <x:v>Tutorial</x:v>
      </x:c>
      <x:c r="H102" s="117" t="n">
        <x:v>1</x:v>
      </x:c>
      <x:c r="I102" s="130" t="n">
        <x:v>2</x:v>
      </x:c>
      <x:c r="J102" s="117" t="n">
        <x:v>1</x:v>
      </x:c>
      <x:c r="K102" s="47" t="str">
        <x:v>Face-to-face</x:v>
      </x:c>
      <x:c r="L102" s="47" t="str">
        <x:v>Seminar Room</x:v>
      </x:c>
      <x:c r="M102" s="47" t="str">
        <x:v>Physical</x:v>
      </x:c>
      <x:c r="N102" s="117" t="n">
        <x:v>40</x:v>
      </x:c>
      <x:c r="O102" s="100" t="str">
        <x:v>TAN RUI ZHEN</x:v>
      </x:c>
      <x:c r="P102" s="100" t="str">
        <x:v>EMP2860</x:v>
      </x:c>
      <x:c r="Q102" s="100"/>
      <x:c r="R102" s="100"/>
      <x:c r="S102" s="100"/>
      <x:c r="T102" s="100"/>
      <x:c r="U102" s="100"/>
      <x:c r="V102" s="47"/>
      <x:c r="W102" s="100" t="str">
        <x:v>EPE_Year 1.xlsx</x:v>
      </x:c>
      <x:c r="X102" s="145" t="n">
        <x:v>5</x:v>
      </x:c>
    </x:row>
    <x:row r="103" ht="22" customHeight="1">
      <x:c r="A103" s="56" t="str">
        <x:v>REQ-EPE-EPE1301-QZ-03</x:v>
      </x:c>
      <x:c r="B103" s="70" t="str">
        <x:v>EPE</x:v>
      </x:c>
      <x:c r="C103" s="107" t="n">
        <x:v>1</x:v>
      </x:c>
      <x:c r="D103" s="13" t="str">
        <x:v>EPE Y1 P1</x:v>
      </x:c>
      <x:c r="E103" s="87" t="str">
        <x:v>EPE1301</x:v>
      </x:c>
      <x:c r="F103" s="90" t="str">
        <x:v>EPE1301</x:v>
      </x:c>
      <x:c r="G103" s="44" t="str">
        <x:v>Quiz</x:v>
      </x:c>
      <x:c r="H103" s="116" t="n">
        <x:v>1</x:v>
      </x:c>
      <x:c r="I103" s="126" t="n">
        <x:v>1</x:v>
      </x:c>
      <x:c r="J103" s="107" t="n">
        <x:v>1</x:v>
      </x:c>
      <x:c r="K103" s="13" t="str">
        <x:v>Face-to-face</x:v>
      </x:c>
      <x:c r="L103" s="13" t="str">
        <x:v>Lectorial</x:v>
      </x:c>
      <x:c r="M103" s="13" t="str">
        <x:v>Physical</x:v>
      </x:c>
      <x:c r="N103" s="107" t="n">
        <x:v>40</x:v>
      </x:c>
      <x:c r="O103" s="90" t="str">
        <x:v>TAN RUI ZHEN</x:v>
      </x:c>
      <x:c r="P103" s="90" t="str">
        <x:v>EMP2860</x:v>
      </x:c>
      <x:c r="Q103" s="90"/>
      <x:c r="R103" s="90"/>
      <x:c r="S103" s="90"/>
      <x:c r="T103" s="90"/>
      <x:c r="U103" s="90"/>
      <x:c r="V103" s="13"/>
      <x:c r="W103" s="90" t="str">
        <x:v>EPE_Year 1.xlsx</x:v>
      </x:c>
      <x:c r="X103" s="135" t="n">
        <x:v>6</x:v>
      </x:c>
    </x:row>
    <x:row r="104" ht="22" customHeight="1">
      <x:c r="A104" s="57" t="str">
        <x:v>REQ-EPE-EPE1302-LEC-01</x:v>
      </x:c>
      <x:c r="B104" s="71" t="str">
        <x:v>EPE</x:v>
      </x:c>
      <x:c r="C104" s="108" t="n">
        <x:v>1</x:v>
      </x:c>
      <x:c r="D104" s="17" t="str">
        <x:v>EPE Y1 P1</x:v>
      </x:c>
      <x:c r="E104" s="86" t="str">
        <x:v>EPE1302</x:v>
      </x:c>
      <x:c r="F104" s="91" t="str">
        <x:v>EPE1302</x:v>
      </x:c>
      <x:c r="G104" s="17" t="str">
        <x:v>Lecture</x:v>
      </x:c>
      <x:c r="H104" s="108" t="n">
        <x:v>1</x:v>
      </x:c>
      <x:c r="I104" s="122" t="n">
        <x:v>2</x:v>
      </x:c>
      <x:c r="J104" s="108" t="n">
        <x:v>1</x:v>
      </x:c>
      <x:c r="K104" s="17" t="str">
        <x:v>Face-to-face</x:v>
      </x:c>
      <x:c r="L104" s="17" t="str">
        <x:v>Lectorial</x:v>
      </x:c>
      <x:c r="M104" s="17" t="str">
        <x:v>Physical</x:v>
      </x:c>
      <x:c r="N104" s="108" t="n">
        <x:v>40</x:v>
      </x:c>
      <x:c r="O104" s="91" t="str">
        <x:v>LEE KWEE HIONG</x:v>
      </x:c>
      <x:c r="P104" s="91" t="str">
        <x:v>EMP2004</x:v>
      </x:c>
      <x:c r="Q104" s="91"/>
      <x:c r="R104" s="91"/>
      <x:c r="S104" s="91"/>
      <x:c r="T104" s="91"/>
      <x:c r="U104" s="91"/>
      <x:c r="V104" s="17"/>
      <x:c r="W104" s="91" t="str">
        <x:v>EPE_Year 1.xlsx</x:v>
      </x:c>
      <x:c r="X104" s="136" t="n">
        <x:v>7</x:v>
      </x:c>
    </x:row>
    <x:row r="105" ht="22" customHeight="1">
      <x:c r="A105" s="58" t="str">
        <x:v>REQ-EPE-EPE1302-TUT-02</x:v>
      </x:c>
      <x:c r="B105" s="72" t="str">
        <x:v>EPE</x:v>
      </x:c>
      <x:c r="C105" s="109" t="n">
        <x:v>1</x:v>
      </x:c>
      <x:c r="D105" s="20" t="str">
        <x:v>EPE Y1 P1</x:v>
      </x:c>
      <x:c r="E105" s="87" t="str">
        <x:v>EPE1302</x:v>
      </x:c>
      <x:c r="F105" s="92" t="str">
        <x:v>EPE1302</x:v>
      </x:c>
      <x:c r="G105" s="20" t="str">
        <x:v>Tutorial</x:v>
      </x:c>
      <x:c r="H105" s="109" t="n">
        <x:v>1</x:v>
      </x:c>
      <x:c r="I105" s="123" t="n">
        <x:v>2</x:v>
      </x:c>
      <x:c r="J105" s="109" t="n">
        <x:v>1</x:v>
      </x:c>
      <x:c r="K105" s="20" t="str">
        <x:v>Face-to-face</x:v>
      </x:c>
      <x:c r="L105" s="20" t="str">
        <x:v>Seminar Room</x:v>
      </x:c>
      <x:c r="M105" s="20" t="str">
        <x:v>Physical</x:v>
      </x:c>
      <x:c r="N105" s="109" t="n">
        <x:v>40</x:v>
      </x:c>
      <x:c r="O105" s="92" t="str">
        <x:v>LEE KWEE HIONG</x:v>
      </x:c>
      <x:c r="P105" s="92" t="str">
        <x:v>EMP2004</x:v>
      </x:c>
      <x:c r="Q105" s="92"/>
      <x:c r="R105" s="92"/>
      <x:c r="S105" s="92"/>
      <x:c r="T105" s="92"/>
      <x:c r="U105" s="92"/>
      <x:c r="V105" s="20"/>
      <x:c r="W105" s="92" t="str">
        <x:v>Requirements Template_ENG.xlsx + current admin module database</x:v>
      </x:c>
      <x:c r="X105" s="137" t="n">
        <x:v>213</x:v>
      </x:c>
    </x:row>
    <x:row r="106" ht="22" customHeight="1">
      <x:c r="A106" s="59" t="str">
        <x:v>REQ-EPE-EPE1303-LEC-01</x:v>
      </x:c>
      <x:c r="B106" s="73" t="str">
        <x:v>EPE</x:v>
      </x:c>
      <x:c r="C106" s="110" t="n">
        <x:v>1</x:v>
      </x:c>
      <x:c r="D106" s="24" t="str">
        <x:v>EPE Y1 P1</x:v>
      </x:c>
      <x:c r="E106" s="86" t="str">
        <x:v>EPE1303</x:v>
      </x:c>
      <x:c r="F106" s="93" t="str">
        <x:v>EPE1303</x:v>
      </x:c>
      <x:c r="G106" s="24" t="str">
        <x:v>Lecture</x:v>
      </x:c>
      <x:c r="H106" s="110" t="n">
        <x:v>1</x:v>
      </x:c>
      <x:c r="I106" s="124" t="n">
        <x:v>2</x:v>
      </x:c>
      <x:c r="J106" s="110" t="n">
        <x:v>1</x:v>
      </x:c>
      <x:c r="K106" s="24" t="str">
        <x:v>Face-to-face</x:v>
      </x:c>
      <x:c r="L106" s="24" t="str">
        <x:v>Lectorial</x:v>
      </x:c>
      <x:c r="M106" s="24" t="str">
        <x:v>Physical</x:v>
      </x:c>
      <x:c r="N106" s="110" t="n">
        <x:v>40</x:v>
      </x:c>
      <x:c r="O106" s="93" t="str">
        <x:v>ANURAG SHARMA</x:v>
      </x:c>
      <x:c r="P106" s="93" t="str">
        <x:v>EMP1100</x:v>
      </x:c>
      <x:c r="Q106" s="93"/>
      <x:c r="R106" s="93"/>
      <x:c r="S106" s="93"/>
      <x:c r="T106" s="93"/>
      <x:c r="U106" s="93"/>
      <x:c r="V106" s="24"/>
      <x:c r="W106" s="93" t="str">
        <x:v>EPE_Year 1.xlsx</x:v>
      </x:c>
      <x:c r="X106" s="138" t="n">
        <x:v>10</x:v>
      </x:c>
    </x:row>
    <x:row r="107" ht="22" customHeight="1">
      <x:c r="A107" s="61" t="str">
        <x:v>REQ-EPE-EPE1303-TUT-02</x:v>
      </x:c>
      <x:c r="B107" s="75" t="str">
        <x:v>EPE</x:v>
      </x:c>
      <x:c r="C107" s="112" t="n">
        <x:v>1</x:v>
      </x:c>
      <x:c r="D107" s="30" t="str">
        <x:v>EPE Y1 P1</x:v>
      </x:c>
      <x:c r="E107" s="87" t="str">
        <x:v>EPE1303</x:v>
      </x:c>
      <x:c r="F107" s="95" t="str">
        <x:v>EPE1303</x:v>
      </x:c>
      <x:c r="G107" s="30" t="str">
        <x:v>Tutorial</x:v>
      </x:c>
      <x:c r="H107" s="112" t="n">
        <x:v>1</x:v>
      </x:c>
      <x:c r="I107" s="131" t="n">
        <x:v>2</x:v>
      </x:c>
      <x:c r="J107" s="112" t="n">
        <x:v>1</x:v>
      </x:c>
      <x:c r="K107" s="30" t="str">
        <x:v>Face-to-face</x:v>
      </x:c>
      <x:c r="L107" s="30" t="str">
        <x:v>Seminar Room</x:v>
      </x:c>
      <x:c r="M107" s="30" t="str">
        <x:v>Physical</x:v>
      </x:c>
      <x:c r="N107" s="112" t="n">
        <x:v>40</x:v>
      </x:c>
      <x:c r="O107" s="95" t="str">
        <x:v>ANURAG SHARMA</x:v>
      </x:c>
      <x:c r="P107" s="95" t="str">
        <x:v>EMP1100</x:v>
      </x:c>
      <x:c r="Q107" s="95"/>
      <x:c r="R107" s="95"/>
      <x:c r="S107" s="95"/>
      <x:c r="T107" s="95"/>
      <x:c r="U107" s="95"/>
      <x:c r="V107" s="30"/>
      <x:c r="W107" s="95" t="str">
        <x:v>EPE_Year 1.xlsx</x:v>
      </x:c>
      <x:c r="X107" s="140" t="n">
        <x:v>11</x:v>
      </x:c>
    </x:row>
    <x:row r="108" ht="22" customHeight="1">
      <x:c r="A108" s="62" t="str">
        <x:v>REQ-EPE-EPE3301-LEC-01</x:v>
      </x:c>
      <x:c r="B108" s="76" t="str">
        <x:v>EPE</x:v>
      </x:c>
      <x:c r="C108" s="113" t="n">
        <x:v>3</x:v>
      </x:c>
      <x:c r="D108" s="34" t="str">
        <x:v>EPE Y3 P1</x:v>
      </x:c>
      <x:c r="E108" s="86" t="str">
        <x:v>EPE3301</x:v>
      </x:c>
      <x:c r="F108" s="96" t="str">
        <x:v>EPE3301</x:v>
      </x:c>
      <x:c r="G108" s="34" t="str">
        <x:v>Lecture</x:v>
      </x:c>
      <x:c r="H108" s="113" t="n">
        <x:v>1</x:v>
      </x:c>
      <x:c r="I108" s="127" t="n">
        <x:v>2</x:v>
      </x:c>
      <x:c r="J108" s="113" t="n">
        <x:v>1</x:v>
      </x:c>
      <x:c r="K108" s="34" t="str">
        <x:v>Face-to-face</x:v>
      </x:c>
      <x:c r="L108" s="34" t="str">
        <x:v>Lectorial</x:v>
      </x:c>
      <x:c r="M108" s="34" t="str">
        <x:v>Physical</x:v>
      </x:c>
      <x:c r="N108" s="113" t="n">
        <x:v>40</x:v>
      </x:c>
      <x:c r="O108" s="96" t="str">
        <x:v>ANURAG SHARMA</x:v>
      </x:c>
      <x:c r="P108" s="96" t="str">
        <x:v>EMP1100</x:v>
      </x:c>
      <x:c r="Q108" s="96"/>
      <x:c r="R108" s="96"/>
      <x:c r="S108" s="96"/>
      <x:c r="T108" s="96"/>
      <x:c r="U108" s="96"/>
      <x:c r="V108" s="34"/>
      <x:c r="W108" s="96" t="str">
        <x:v>EPE_Year 2.xlsx</x:v>
      </x:c>
      <x:c r="X108" s="141" t="n">
        <x:v>13</x:v>
      </x:c>
    </x:row>
    <x:row r="109" ht="22" customHeight="1">
      <x:c r="A109" s="63" t="str">
        <x:v>REQ-EPE-EPE3301-TUT-02</x:v>
      </x:c>
      <x:c r="B109" s="77" t="str">
        <x:v>EPE</x:v>
      </x:c>
      <x:c r="C109" s="114" t="n">
        <x:v>3</x:v>
      </x:c>
      <x:c r="D109" s="37" t="str">
        <x:v>EPE Y3 P1</x:v>
      </x:c>
      <x:c r="E109" s="87" t="str">
        <x:v>EPE3301</x:v>
      </x:c>
      <x:c r="F109" s="97" t="str">
        <x:v>EPE3301</x:v>
      </x:c>
      <x:c r="G109" s="37" t="str">
        <x:v>Tutorial</x:v>
      </x:c>
      <x:c r="H109" s="114" t="n">
        <x:v>1</x:v>
      </x:c>
      <x:c r="I109" s="128" t="n">
        <x:v>2</x:v>
      </x:c>
      <x:c r="J109" s="114" t="n">
        <x:v>1</x:v>
      </x:c>
      <x:c r="K109" s="37" t="str">
        <x:v>Face-to-face</x:v>
      </x:c>
      <x:c r="L109" s="37" t="str">
        <x:v>Seminar Room</x:v>
      </x:c>
      <x:c r="M109" s="37" t="str">
        <x:v>Physical</x:v>
      </x:c>
      <x:c r="N109" s="114" t="n">
        <x:v>40</x:v>
      </x:c>
      <x:c r="O109" s="97" t="str">
        <x:v>THAIYAL NAAYAGI RAMASAMY</x:v>
      </x:c>
      <x:c r="P109" s="97" t="str">
        <x:v>EMP2969</x:v>
      </x:c>
      <x:c r="Q109" s="97"/>
      <x:c r="R109" s="97"/>
      <x:c r="S109" s="97"/>
      <x:c r="T109" s="97"/>
      <x:c r="U109" s="97"/>
      <x:c r="V109" s="37"/>
      <x:c r="W109" s="97" t="str">
        <x:v>EPE_Year 2.xlsx</x:v>
      </x:c>
      <x:c r="X109" s="142" t="n">
        <x:v>10</x:v>
      </x:c>
    </x:row>
    <x:row r="110" ht="22" customHeight="1">
      <x:c r="A110" s="64" t="str">
        <x:v>REQ-EPE-EPE3303A-WKS-01</x:v>
      </x:c>
      <x:c r="B110" s="78" t="str">
        <x:v>EPE</x:v>
      </x:c>
      <x:c r="C110" s="115" t="n">
        <x:v>3</x:v>
      </x:c>
      <x:c r="D110" s="41" t="str">
        <x:v>EPE Y3 P1</x:v>
      </x:c>
      <x:c r="E110" s="86" t="str">
        <x:v>EPE3303A</x:v>
      </x:c>
      <x:c r="F110" s="98" t="str">
        <x:v>EPE3303A</x:v>
      </x:c>
      <x:c r="G110" s="41" t="str">
        <x:v>Workshop</x:v>
      </x:c>
      <x:c r="H110" s="115" t="n">
        <x:v>1</x:v>
      </x:c>
      <x:c r="I110" s="129" t="n">
        <x:v>3</x:v>
      </x:c>
      <x:c r="J110" s="115" t="n">
        <x:v>1</x:v>
      </x:c>
      <x:c r="K110" s="41" t="str">
        <x:v>Face-to-face</x:v>
      </x:c>
      <x:c r="L110" s="41" t="str">
        <x:v>Seminar Room</x:v>
      </x:c>
      <x:c r="M110" s="41" t="str">
        <x:v>Physical</x:v>
      </x:c>
      <x:c r="N110" s="115" t="n">
        <x:v>40</x:v>
      </x:c>
      <x:c r="O110" s="98" t="str">
        <x:v>ZHANG WEILI</x:v>
      </x:c>
      <x:c r="P110" s="98" t="str">
        <x:v>EMP3268</x:v>
      </x:c>
      <x:c r="Q110" s="98"/>
      <x:c r="R110" s="98"/>
      <x:c r="S110" s="98"/>
      <x:c r="T110" s="98"/>
      <x:c r="U110" s="98"/>
      <x:c r="V110" s="41"/>
      <x:c r="W110" s="98" t="str">
        <x:v>EPE_Year 2.xlsx</x:v>
      </x:c>
      <x:c r="X110" s="143" t="n">
        <x:v>27</x:v>
      </x:c>
    </x:row>
    <x:row r="111" ht="22" customHeight="1">
      <x:c r="A111" s="65" t="str">
        <x:v>REQ-EPE-EPE3303A-SEM-02</x:v>
      </x:c>
      <x:c r="B111" s="79" t="str">
        <x:v>EPE</x:v>
      </x:c>
      <x:c r="C111" s="116" t="n">
        <x:v>3</x:v>
      </x:c>
      <x:c r="D111" s="44" t="str">
        <x:v>EPE Y3 P1</x:v>
      </x:c>
      <x:c r="E111" s="87" t="str">
        <x:v>EPE3303A</x:v>
      </x:c>
      <x:c r="F111" s="99" t="str">
        <x:v>EPE3303A</x:v>
      </x:c>
      <x:c r="G111" s="44" t="str">
        <x:v>Seminar</x:v>
      </x:c>
      <x:c r="H111" s="116" t="n">
        <x:v>1</x:v>
      </x:c>
      <x:c r="I111" s="126" t="n">
        <x:v>2</x:v>
      </x:c>
      <x:c r="J111" s="116" t="n">
        <x:v>1</x:v>
      </x:c>
      <x:c r="K111" s="44" t="str">
        <x:v>Face-to-face</x:v>
      </x:c>
      <x:c r="L111" s="44" t="str">
        <x:v>Seminar Room</x:v>
      </x:c>
      <x:c r="M111" s="44" t="str">
        <x:v>Physical</x:v>
      </x:c>
      <x:c r="N111" s="116" t="n">
        <x:v>40</x:v>
      </x:c>
      <x:c r="O111" s="99" t="str">
        <x:v>MUHAMMAD RAMADAN SAIFUDDIN</x:v>
      </x:c>
      <x:c r="P111" s="99" t="str">
        <x:v>EMP2338</x:v>
      </x:c>
      <x:c r="Q111" s="99"/>
      <x:c r="R111" s="99"/>
      <x:c r="S111" s="99"/>
      <x:c r="T111" s="99"/>
      <x:c r="U111" s="99"/>
      <x:c r="V111" s="44"/>
      <x:c r="W111" s="99" t="str">
        <x:v>Requirements Template_ENG.xlsx + current admin module database</x:v>
      </x:c>
      <x:c r="X111" s="144" t="n">
        <x:v>217</x:v>
      </x:c>
    </x:row>
    <x:row r="112" ht="22" customHeight="1">
      <x:c r="A112" s="55" t="str">
        <x:v>REQ-ESE-ESE1101-LEC-01</x:v>
      </x:c>
      <x:c r="B112" s="69" t="str">
        <x:v>ESE</x:v>
      </x:c>
      <x:c r="C112" s="106" t="n">
        <x:v>1</x:v>
      </x:c>
      <x:c r="D112" s="10" t="str">
        <x:v>ESE Y1 P1</x:v>
      </x:c>
      <x:c r="E112" s="86" t="str">
        <x:v>ESE1101</x:v>
      </x:c>
      <x:c r="F112" s="89" t="str">
        <x:v>ESE1101</x:v>
      </x:c>
      <x:c r="G112" s="10" t="str">
        <x:v>Lecture</x:v>
      </x:c>
      <x:c r="H112" s="106" t="n">
        <x:v>1</x:v>
      </x:c>
      <x:c r="I112" s="120" t="n">
        <x:v>2</x:v>
      </x:c>
      <x:c r="J112" s="106" t="n">
        <x:v>1</x:v>
      </x:c>
      <x:c r="K112" s="103" t="str">
        <x:v>Online</x:v>
      </x:c>
      <x:c r="L112" s="103" t="str">
        <x:v>Virtual</x:v>
      </x:c>
      <x:c r="M112" s="103" t="str">
        <x:v>Virtual</x:v>
      </x:c>
      <x:c r="N112" s="106" t="n">
        <x:v>40</x:v>
      </x:c>
      <x:c r="O112" s="89" t="str">
        <x:v>CHOO JIAN HUEI</x:v>
      </x:c>
      <x:c r="P112" s="89" t="str">
        <x:v>EMP1323</x:v>
      </x:c>
      <x:c r="Q112" s="89"/>
      <x:c r="R112" s="89"/>
      <x:c r="S112" s="89"/>
      <x:c r="T112" s="89"/>
      <x:c r="U112" s="89"/>
      <x:c r="V112" s="10"/>
      <x:c r="W112" s="89" t="str">
        <x:v>ESE Year 1.xlsx</x:v>
      </x:c>
      <x:c r="X112" s="134" t="n">
        <x:v>4</x:v>
      </x:c>
    </x:row>
    <x:row r="113" ht="22" customHeight="1">
      <x:c r="A113" s="66" t="str">
        <x:v>REQ-ESE-ESE1101-LEC-02B</x:v>
      </x:c>
      <x:c r="B113" s="80" t="str">
        <x:v>ESE</x:v>
      </x:c>
      <x:c r="C113" s="117" t="n">
        <x:v>1</x:v>
      </x:c>
      <x:c r="D113" s="47" t="str">
        <x:v>ESE Y1 P1</x:v>
      </x:c>
      <x:c r="E113" s="88" t="str">
        <x:v>ESE1101</x:v>
      </x:c>
      <x:c r="F113" s="100" t="str">
        <x:v>ESE1101</x:v>
      </x:c>
      <x:c r="G113" s="47" t="str">
        <x:v>Lecture</x:v>
      </x:c>
      <x:c r="H113" s="117" t="n">
        <x:v>1</x:v>
      </x:c>
      <x:c r="I113" s="130" t="n">
        <x:v>2</x:v>
      </x:c>
      <x:c r="J113" s="117" t="n">
        <x:v>1</x:v>
      </x:c>
      <x:c r="K113" s="105" t="str">
        <x:v>Online</x:v>
      </x:c>
      <x:c r="L113" s="105" t="str">
        <x:v>Virtual</x:v>
      </x:c>
      <x:c r="M113" s="105" t="str">
        <x:v>Virtual</x:v>
      </x:c>
      <x:c r="N113" s="117" t="n">
        <x:v>40</x:v>
      </x:c>
      <x:c r="O113" s="100" t="str">
        <x:v>CHOO JIAN HUEI</x:v>
      </x:c>
      <x:c r="P113" s="100" t="str">
        <x:v>EMP1323</x:v>
      </x:c>
      <x:c r="Q113" s="100"/>
      <x:c r="R113" s="100"/>
      <x:c r="S113" s="100"/>
      <x:c r="T113" s="100"/>
      <x:c r="U113" s="100"/>
      <x:c r="V113" s="47"/>
      <x:c r="W113" s="100" t="str">
        <x:v>ESE Year 1.xlsx</x:v>
      </x:c>
      <x:c r="X113" s="145" t="n">
        <x:v>4</x:v>
      </x:c>
    </x:row>
    <x:row r="114" ht="22" customHeight="1">
      <x:c r="A114" s="66" t="str">
        <x:v>REQ-ESE-ESE1101-TUT-03</x:v>
      </x:c>
      <x:c r="B114" s="80" t="str">
        <x:v>ESE</x:v>
      </x:c>
      <x:c r="C114" s="117" t="n">
        <x:v>1</x:v>
      </x:c>
      <x:c r="D114" s="47" t="str">
        <x:v>ESE Y1 P1</x:v>
      </x:c>
      <x:c r="E114" s="88" t="str">
        <x:v>ESE1101</x:v>
      </x:c>
      <x:c r="F114" s="100" t="str">
        <x:v>ESE1101</x:v>
      </x:c>
      <x:c r="G114" s="47" t="str">
        <x:v>Tutorial</x:v>
      </x:c>
      <x:c r="H114" s="117" t="n">
        <x:v>1</x:v>
      </x:c>
      <x:c r="I114" s="130" t="n">
        <x:v>2</x:v>
      </x:c>
      <x:c r="J114" s="117" t="n">
        <x:v>1</x:v>
      </x:c>
      <x:c r="K114" s="47" t="str">
        <x:v>Face-to-face</x:v>
      </x:c>
      <x:c r="L114" s="47" t="str">
        <x:v>Seminar Room</x:v>
      </x:c>
      <x:c r="M114" s="47" t="str">
        <x:v>Physical</x:v>
      </x:c>
      <x:c r="N114" s="117" t="n">
        <x:v>40</x:v>
      </x:c>
      <x:c r="O114" s="100" t="str">
        <x:v>CHOO JIAN HUEI</x:v>
      </x:c>
      <x:c r="P114" s="100" t="str">
        <x:v>EMP1323</x:v>
      </x:c>
      <x:c r="Q114" s="100"/>
      <x:c r="R114" s="100"/>
      <x:c r="S114" s="100"/>
      <x:c r="T114" s="100"/>
      <x:c r="U114" s="100"/>
      <x:c r="V114" s="47"/>
      <x:c r="W114" s="100" t="str">
        <x:v>ESE Year 1.xlsx</x:v>
      </x:c>
      <x:c r="X114" s="145" t="n">
        <x:v>5</x:v>
      </x:c>
    </x:row>
    <x:row r="115" ht="22" customHeight="1">
      <x:c r="A115" s="66" t="str">
        <x:v>REQ-ESE-ESE1101-TUT-04B</x:v>
      </x:c>
      <x:c r="B115" s="80" t="str">
        <x:v>ESE</x:v>
      </x:c>
      <x:c r="C115" s="117" t="n">
        <x:v>1</x:v>
      </x:c>
      <x:c r="D115" s="47" t="str">
        <x:v>ESE Y1 P1</x:v>
      </x:c>
      <x:c r="E115" s="88" t="str">
        <x:v>ESE1101</x:v>
      </x:c>
      <x:c r="F115" s="100" t="str">
        <x:v>ESE1101</x:v>
      </x:c>
      <x:c r="G115" s="47" t="str">
        <x:v>Tutorial</x:v>
      </x:c>
      <x:c r="H115" s="117" t="n">
        <x:v>1</x:v>
      </x:c>
      <x:c r="I115" s="130" t="n">
        <x:v>2</x:v>
      </x:c>
      <x:c r="J115" s="117" t="n">
        <x:v>1</x:v>
      </x:c>
      <x:c r="K115" s="47" t="str">
        <x:v>Face-to-face</x:v>
      </x:c>
      <x:c r="L115" s="47" t="str">
        <x:v>Seminar Room</x:v>
      </x:c>
      <x:c r="M115" s="47" t="str">
        <x:v>Physical</x:v>
      </x:c>
      <x:c r="N115" s="117" t="n">
        <x:v>40</x:v>
      </x:c>
      <x:c r="O115" s="100" t="str">
        <x:v>CHOO JIAN HUEI</x:v>
      </x:c>
      <x:c r="P115" s="100" t="str">
        <x:v>EMP1323</x:v>
      </x:c>
      <x:c r="Q115" s="100"/>
      <x:c r="R115" s="100"/>
      <x:c r="S115" s="100"/>
      <x:c r="T115" s="100"/>
      <x:c r="U115" s="100"/>
      <x:c r="V115" s="47"/>
      <x:c r="W115" s="100" t="str">
        <x:v>ESE Year 1.xlsx</x:v>
      </x:c>
      <x:c r="X115" s="145" t="n">
        <x:v>5</x:v>
      </x:c>
    </x:row>
    <x:row r="116" ht="22" customHeight="1">
      <x:c r="A116" s="56" t="str">
        <x:v>REQ-ESE-ESE1101-QZ-05</x:v>
      </x:c>
      <x:c r="B116" s="70" t="str">
        <x:v>ESE</x:v>
      </x:c>
      <x:c r="C116" s="107" t="n">
        <x:v>1</x:v>
      </x:c>
      <x:c r="D116" s="13" t="str">
        <x:v>ESE Y1 P1</x:v>
      </x:c>
      <x:c r="E116" s="87" t="str">
        <x:v>ESE1101</x:v>
      </x:c>
      <x:c r="F116" s="90" t="str">
        <x:v>ESE1101</x:v>
      </x:c>
      <x:c r="G116" s="44" t="str">
        <x:v>Quiz</x:v>
      </x:c>
      <x:c r="H116" s="116" t="n">
        <x:v>1</x:v>
      </x:c>
      <x:c r="I116" s="126" t="n">
        <x:v>1</x:v>
      </x:c>
      <x:c r="J116" s="107" t="n">
        <x:v>1</x:v>
      </x:c>
      <x:c r="K116" s="13" t="str">
        <x:v>Face-to-face</x:v>
      </x:c>
      <x:c r="L116" s="13" t="str">
        <x:v>Lectorial</x:v>
      </x:c>
      <x:c r="M116" s="13" t="str">
        <x:v>Physical</x:v>
      </x:c>
      <x:c r="N116" s="107" t="n">
        <x:v>40</x:v>
      </x:c>
      <x:c r="O116" s="90" t="str">
        <x:v>CHOO JIAN HUEI</x:v>
      </x:c>
      <x:c r="P116" s="90" t="str">
        <x:v>EMP1323</x:v>
      </x:c>
      <x:c r="Q116" s="90"/>
      <x:c r="R116" s="90"/>
      <x:c r="S116" s="90"/>
      <x:c r="T116" s="90"/>
      <x:c r="U116" s="90"/>
      <x:c r="V116" s="13"/>
      <x:c r="W116" s="90" t="str">
        <x:v>ESE Year 1.xlsx</x:v>
      </x:c>
      <x:c r="X116" s="135" t="n">
        <x:v>6</x:v>
      </x:c>
    </x:row>
    <x:row r="117" ht="22" customHeight="1">
      <x:c r="A117" s="57" t="str">
        <x:v>REQ-ESE-ESE1109-LEC-01</x:v>
      </x:c>
      <x:c r="B117" s="71" t="str">
        <x:v>ESE</x:v>
      </x:c>
      <x:c r="C117" s="108" t="n">
        <x:v>1</x:v>
      </x:c>
      <x:c r="D117" s="17" t="str">
        <x:v>ESE Y1 P1</x:v>
      </x:c>
      <x:c r="E117" s="86" t="str">
        <x:v>ESE1109</x:v>
      </x:c>
      <x:c r="F117" s="91" t="str">
        <x:v>ESE1109</x:v>
      </x:c>
      <x:c r="G117" s="17" t="str">
        <x:v>Lecture</x:v>
      </x:c>
      <x:c r="H117" s="108" t="n">
        <x:v>1</x:v>
      </x:c>
      <x:c r="I117" s="122" t="n">
        <x:v>2</x:v>
      </x:c>
      <x:c r="J117" s="108" t="n">
        <x:v>1</x:v>
      </x:c>
      <x:c r="K117" s="17" t="str">
        <x:v>Face-to-face</x:v>
      </x:c>
      <x:c r="L117" s="17" t="str">
        <x:v>Lectorial</x:v>
      </x:c>
      <x:c r="M117" s="17" t="str">
        <x:v>Physical</x:v>
      </x:c>
      <x:c r="N117" s="108" t="n">
        <x:v>40</x:v>
      </x:c>
      <x:c r="O117" s="91" t="str">
        <x:v>GAN HIONG YAP</x:v>
      </x:c>
      <x:c r="P117" s="91" t="str">
        <x:v>EMP1543</x:v>
      </x:c>
      <x:c r="Q117" s="91"/>
      <x:c r="R117" s="91"/>
      <x:c r="S117" s="91"/>
      <x:c r="T117" s="91"/>
      <x:c r="U117" s="91"/>
      <x:c r="V117" s="17"/>
      <x:c r="W117" s="91" t="str">
        <x:v>ESE Year 2.xlsx</x:v>
      </x:c>
      <x:c r="X117" s="136" t="n">
        <x:v>21</x:v>
      </x:c>
    </x:row>
    <x:row r="118" ht="22" customHeight="1">
      <x:c r="A118" s="58" t="str">
        <x:v>REQ-ESE-ESE1109-TUT-02</x:v>
      </x:c>
      <x:c r="B118" s="72" t="str">
        <x:v>ESE</x:v>
      </x:c>
      <x:c r="C118" s="109" t="n">
        <x:v>1</x:v>
      </x:c>
      <x:c r="D118" s="20" t="str">
        <x:v>ESE Y1 P1</x:v>
      </x:c>
      <x:c r="E118" s="87" t="str">
        <x:v>ESE1109</x:v>
      </x:c>
      <x:c r="F118" s="92" t="str">
        <x:v>ESE1109</x:v>
      </x:c>
      <x:c r="G118" s="20" t="str">
        <x:v>Tutorial</x:v>
      </x:c>
      <x:c r="H118" s="109" t="n">
        <x:v>1</x:v>
      </x:c>
      <x:c r="I118" s="123" t="n">
        <x:v>2</x:v>
      </x:c>
      <x:c r="J118" s="109" t="n">
        <x:v>1</x:v>
      </x:c>
      <x:c r="K118" s="20" t="str">
        <x:v>Face-to-face</x:v>
      </x:c>
      <x:c r="L118" s="20" t="str">
        <x:v>Seminar Room</x:v>
      </x:c>
      <x:c r="M118" s="20" t="str">
        <x:v>Physical</x:v>
      </x:c>
      <x:c r="N118" s="109" t="n">
        <x:v>40</x:v>
      </x:c>
      <x:c r="O118" s="92" t="str">
        <x:v>GAN HIONG YAP</x:v>
      </x:c>
      <x:c r="P118" s="92" t="str">
        <x:v>EMP1543</x:v>
      </x:c>
      <x:c r="Q118" s="92"/>
      <x:c r="R118" s="92"/>
      <x:c r="S118" s="92"/>
      <x:c r="T118" s="92"/>
      <x:c r="U118" s="92"/>
      <x:c r="V118" s="20"/>
      <x:c r="W118" s="92" t="str">
        <x:v>ESE Year 2.xlsx</x:v>
      </x:c>
      <x:c r="X118" s="137" t="n">
        <x:v>22</x:v>
      </x:c>
    </x:row>
    <x:row r="119" ht="22" customHeight="1">
      <x:c r="A119" s="59" t="str">
        <x:v>REQ-ESE-ESE2103-LEC-01</x:v>
      </x:c>
      <x:c r="B119" s="73" t="str">
        <x:v>ESE</x:v>
      </x:c>
      <x:c r="C119" s="110" t="n">
        <x:v>2</x:v>
      </x:c>
      <x:c r="D119" s="24" t="str">
        <x:v>ESE Y2 P1</x:v>
      </x:c>
      <x:c r="E119" s="86" t="str">
        <x:v>ESE2103</x:v>
      </x:c>
      <x:c r="F119" s="93" t="str">
        <x:v>ESE2103</x:v>
      </x:c>
      <x:c r="G119" s="24" t="str">
        <x:v>Lecture</x:v>
      </x:c>
      <x:c r="H119" s="110" t="n">
        <x:v>1</x:v>
      </x:c>
      <x:c r="I119" s="124" t="n">
        <x:v>2</x:v>
      </x:c>
      <x:c r="J119" s="110" t="n">
        <x:v>1</x:v>
      </x:c>
      <x:c r="K119" s="24" t="str">
        <x:v>Face-to-face</x:v>
      </x:c>
      <x:c r="L119" s="24" t="str">
        <x:v>Lectorial</x:v>
      </x:c>
      <x:c r="M119" s="24" t="str">
        <x:v>Physical</x:v>
      </x:c>
      <x:c r="N119" s="110" t="n">
        <x:v>40</x:v>
      </x:c>
      <x:c r="O119" s="93" t="str">
        <x:v>GAN HIONG YAP</x:v>
      </x:c>
      <x:c r="P119" s="93" t="str">
        <x:v>EMP1543</x:v>
      </x:c>
      <x:c r="Q119" s="93" t="str">
        <x:v>HOH HSIN JEN</x:v>
      </x:c>
      <x:c r="R119" s="93" t="str">
        <x:v>EMP1666</x:v>
      </x:c>
      <x:c r="S119" s="93"/>
      <x:c r="T119" s="93"/>
      <x:c r="U119" s="93"/>
      <x:c r="V119" s="24"/>
      <x:c r="W119" s="93" t="str">
        <x:v>ESE Year 2.xlsx</x:v>
      </x:c>
      <x:c r="X119" s="138" t="n">
        <x:v>4</x:v>
      </x:c>
    </x:row>
    <x:row r="120" ht="22" customHeight="1">
      <x:c r="A120" s="61" t="str">
        <x:v>REQ-ESE-ESE2103-TUT-02</x:v>
      </x:c>
      <x:c r="B120" s="75" t="str">
        <x:v>ESE</x:v>
      </x:c>
      <x:c r="C120" s="112" t="n">
        <x:v>2</x:v>
      </x:c>
      <x:c r="D120" s="30" t="str">
        <x:v>ESE Y2 P1</x:v>
      </x:c>
      <x:c r="E120" s="87" t="str">
        <x:v>ESE2103</x:v>
      </x:c>
      <x:c r="F120" s="95" t="str">
        <x:v>ESE2103</x:v>
      </x:c>
      <x:c r="G120" s="30" t="str">
        <x:v>Tutorial</x:v>
      </x:c>
      <x:c r="H120" s="112" t="n">
        <x:v>1</x:v>
      </x:c>
      <x:c r="I120" s="131" t="n">
        <x:v>2</x:v>
      </x:c>
      <x:c r="J120" s="112" t="n">
        <x:v>1</x:v>
      </x:c>
      <x:c r="K120" s="30" t="str">
        <x:v>Face-to-face</x:v>
      </x:c>
      <x:c r="L120" s="30" t="str">
        <x:v>Seminar Room</x:v>
      </x:c>
      <x:c r="M120" s="30" t="str">
        <x:v>Physical</x:v>
      </x:c>
      <x:c r="N120" s="112" t="n">
        <x:v>40</x:v>
      </x:c>
      <x:c r="O120" s="95" t="str">
        <x:v>GAN HIONG YAP</x:v>
      </x:c>
      <x:c r="P120" s="95" t="str">
        <x:v>EMP1543</x:v>
      </x:c>
      <x:c r="Q120" s="95"/>
      <x:c r="R120" s="95"/>
      <x:c r="S120" s="95"/>
      <x:c r="T120" s="95"/>
      <x:c r="U120" s="95"/>
      <x:c r="V120" s="30"/>
      <x:c r="W120" s="95" t="str">
        <x:v>ESE Year 2.xlsx</x:v>
      </x:c>
      <x:c r="X120" s="140" t="n">
        <x:v>6</x:v>
      </x:c>
    </x:row>
    <x:row r="121" ht="22" customHeight="1">
      <x:c r="A121" s="62" t="str">
        <x:v>REQ-ESE-ESE3103-LEC-01</x:v>
      </x:c>
      <x:c r="B121" s="76" t="str">
        <x:v>ESE</x:v>
      </x:c>
      <x:c r="C121" s="113" t="n">
        <x:v>3</x:v>
      </x:c>
      <x:c r="D121" s="34" t="str">
        <x:v>ESE Y3 P1</x:v>
      </x:c>
      <x:c r="E121" s="86" t="str">
        <x:v>ESE3103</x:v>
      </x:c>
      <x:c r="F121" s="96" t="str">
        <x:v>ESE3103</x:v>
      </x:c>
      <x:c r="G121" s="34" t="str">
        <x:v>Lecture</x:v>
      </x:c>
      <x:c r="H121" s="113" t="n">
        <x:v>1</x:v>
      </x:c>
      <x:c r="I121" s="127" t="n">
        <x:v>2</x:v>
      </x:c>
      <x:c r="J121" s="113" t="n">
        <x:v>1</x:v>
      </x:c>
      <x:c r="K121" s="34" t="str">
        <x:v>Face-to-face</x:v>
      </x:c>
      <x:c r="L121" s="34" t="str">
        <x:v>Lectorial</x:v>
      </x:c>
      <x:c r="M121" s="34" t="str">
        <x:v>Physical</x:v>
      </x:c>
      <x:c r="N121" s="113" t="n">
        <x:v>40</x:v>
      </x:c>
      <x:c r="O121" s="96" t="str">
        <x:v>LIONG YUSHAN, KYRIN JO</x:v>
      </x:c>
      <x:c r="P121" s="96" t="str">
        <x:v>EMP2161</x:v>
      </x:c>
      <x:c r="Q121" s="96"/>
      <x:c r="R121" s="96"/>
      <x:c r="S121" s="96"/>
      <x:c r="T121" s="96"/>
      <x:c r="U121" s="96"/>
      <x:c r="V121" s="34"/>
      <x:c r="W121" s="96" t="str">
        <x:v>ESE Year 2.xlsx</x:v>
      </x:c>
      <x:c r="X121" s="141" t="n">
        <x:v>24</x:v>
      </x:c>
    </x:row>
    <x:row r="122" ht="22" customHeight="1">
      <x:c r="A122" s="63" t="str">
        <x:v>REQ-ESE-ESE3103-TUT-02</x:v>
      </x:c>
      <x:c r="B122" s="77" t="str">
        <x:v>ESE</x:v>
      </x:c>
      <x:c r="C122" s="114" t="n">
        <x:v>3</x:v>
      </x:c>
      <x:c r="D122" s="37" t="str">
        <x:v>ESE Y3 P1</x:v>
      </x:c>
      <x:c r="E122" s="87" t="str">
        <x:v>ESE3103</x:v>
      </x:c>
      <x:c r="F122" s="97" t="str">
        <x:v>ESE3103</x:v>
      </x:c>
      <x:c r="G122" s="37" t="str">
        <x:v>Tutorial</x:v>
      </x:c>
      <x:c r="H122" s="114" t="n">
        <x:v>1</x:v>
      </x:c>
      <x:c r="I122" s="128" t="n">
        <x:v>2</x:v>
      </x:c>
      <x:c r="J122" s="114" t="n">
        <x:v>1</x:v>
      </x:c>
      <x:c r="K122" s="37" t="str">
        <x:v>Face-to-face</x:v>
      </x:c>
      <x:c r="L122" s="37" t="str">
        <x:v>Seminar Room</x:v>
      </x:c>
      <x:c r="M122" s="37" t="str">
        <x:v>Physical</x:v>
      </x:c>
      <x:c r="N122" s="114" t="n">
        <x:v>40</x:v>
      </x:c>
      <x:c r="O122" s="97" t="str">
        <x:v>LIONG YUSHAN, KYRIN JO</x:v>
      </x:c>
      <x:c r="P122" s="97" t="str">
        <x:v>EMP2161</x:v>
      </x:c>
      <x:c r="Q122" s="97"/>
      <x:c r="R122" s="97"/>
      <x:c r="S122" s="97"/>
      <x:c r="T122" s="97"/>
      <x:c r="U122" s="97"/>
      <x:c r="V122" s="37"/>
      <x:c r="W122" s="97" t="str">
        <x:v>ESE Year 2.xlsx</x:v>
      </x:c>
      <x:c r="X122" s="142" t="n">
        <x:v>25</x:v>
      </x:c>
    </x:row>
    <x:row r="123" ht="22" customHeight="1">
      <x:c r="A123" s="64" t="str">
        <x:v>REQ-ESE-ESE3104-LEC-01</x:v>
      </x:c>
      <x:c r="B123" s="78" t="str">
        <x:v>ESE</x:v>
      </x:c>
      <x:c r="C123" s="115" t="n">
        <x:v>3</x:v>
      </x:c>
      <x:c r="D123" s="41" t="str">
        <x:v>ESE Y3 P1</x:v>
      </x:c>
      <x:c r="E123" s="86" t="str">
        <x:v>ESE3104</x:v>
      </x:c>
      <x:c r="F123" s="98" t="str">
        <x:v>ESE3104</x:v>
      </x:c>
      <x:c r="G123" s="41" t="str">
        <x:v>Lecture</x:v>
      </x:c>
      <x:c r="H123" s="115" t="n">
        <x:v>1</x:v>
      </x:c>
      <x:c r="I123" s="129" t="n">
        <x:v>2</x:v>
      </x:c>
      <x:c r="J123" s="115" t="n">
        <x:v>1</x:v>
      </x:c>
      <x:c r="K123" s="41" t="str">
        <x:v>Face-to-face</x:v>
      </x:c>
      <x:c r="L123" s="41" t="str">
        <x:v>Lectorial</x:v>
      </x:c>
      <x:c r="M123" s="41" t="str">
        <x:v>Physical</x:v>
      </x:c>
      <x:c r="N123" s="115" t="n">
        <x:v>40</x:v>
      </x:c>
      <x:c r="O123" s="98" t="str">
        <x:v>MICHAEL PILGAARD NIELSEN</x:v>
      </x:c>
      <x:c r="P123" s="98" t="str">
        <x:v>EMP2303</x:v>
      </x:c>
      <x:c r="Q123" s="98"/>
      <x:c r="R123" s="98"/>
      <x:c r="S123" s="98"/>
      <x:c r="T123" s="98"/>
      <x:c r="U123" s="98"/>
      <x:c r="V123" s="41"/>
      <x:c r="W123" s="98" t="str">
        <x:v>ESE Year 2.xlsx</x:v>
      </x:c>
      <x:c r="X123" s="143" t="n">
        <x:v>13</x:v>
      </x:c>
    </x:row>
    <x:row r="124" ht="22" customHeight="1">
      <x:c r="A124" s="65" t="str">
        <x:v>REQ-ESE-ESE3104-TUT-02</x:v>
      </x:c>
      <x:c r="B124" s="79" t="str">
        <x:v>ESE</x:v>
      </x:c>
      <x:c r="C124" s="116" t="n">
        <x:v>3</x:v>
      </x:c>
      <x:c r="D124" s="44" t="str">
        <x:v>ESE Y3 P1</x:v>
      </x:c>
      <x:c r="E124" s="87" t="str">
        <x:v>ESE3104</x:v>
      </x:c>
      <x:c r="F124" s="99" t="str">
        <x:v>ESE3104</x:v>
      </x:c>
      <x:c r="G124" s="44" t="str">
        <x:v>Tutorial</x:v>
      </x:c>
      <x:c r="H124" s="116" t="n">
        <x:v>1</x:v>
      </x:c>
      <x:c r="I124" s="126" t="n">
        <x:v>2</x:v>
      </x:c>
      <x:c r="J124" s="116" t="n">
        <x:v>1</x:v>
      </x:c>
      <x:c r="K124" s="44" t="str">
        <x:v>Face-to-face</x:v>
      </x:c>
      <x:c r="L124" s="44" t="str">
        <x:v>Seminar Room</x:v>
      </x:c>
      <x:c r="M124" s="44" t="str">
        <x:v>Physical</x:v>
      </x:c>
      <x:c r="N124" s="116" t="n">
        <x:v>40</x:v>
      </x:c>
      <x:c r="O124" s="99" t="str">
        <x:v>MICHAEL PILGAARD NIELSEN</x:v>
      </x:c>
      <x:c r="P124" s="99" t="str">
        <x:v>EMP2303</x:v>
      </x:c>
      <x:c r="Q124" s="99"/>
      <x:c r="R124" s="99"/>
      <x:c r="S124" s="99"/>
      <x:c r="T124" s="99"/>
      <x:c r="U124" s="99"/>
      <x:c r="V124" s="44"/>
      <x:c r="W124" s="99" t="str">
        <x:v>ESE Year 2.xlsx</x:v>
      </x:c>
      <x:c r="X124" s="144" t="n">
        <x:v>14</x:v>
      </x:c>
    </x:row>
    <x:row r="125" ht="22" customHeight="1">
      <x:c r="A125" s="55" t="str">
        <x:v>REQ-FDT-FDT1012-LCT-01</x:v>
      </x:c>
      <x:c r="B125" s="69" t="str">
        <x:v>FDT</x:v>
      </x:c>
      <x:c r="C125" s="106" t="n">
        <x:v>1</x:v>
      </x:c>
      <x:c r="D125" s="10" t="str">
        <x:v>FDT Y1 P1</x:v>
      </x:c>
      <x:c r="E125" s="86" t="str">
        <x:v>FDT1012</x:v>
      </x:c>
      <x:c r="F125" s="89" t="str">
        <x:v>FDT1012</x:v>
      </x:c>
      <x:c r="G125" s="10" t="str">
        <x:v>Lectorial</x:v>
      </x:c>
      <x:c r="H125" s="106" t="n">
        <x:v>1</x:v>
      </x:c>
      <x:c r="I125" s="120" t="n">
        <x:v>2</x:v>
      </x:c>
      <x:c r="J125" s="106" t="n">
        <x:v>1</x:v>
      </x:c>
      <x:c r="K125" s="10" t="str">
        <x:v>Face-to-face</x:v>
      </x:c>
      <x:c r="L125" s="10" t="str">
        <x:v>Lectorial</x:v>
      </x:c>
      <x:c r="M125" s="10" t="str">
        <x:v>Physical</x:v>
      </x:c>
      <x:c r="N125" s="106" t="n">
        <x:v>40</x:v>
      </x:c>
      <x:c r="O125" s="89" t="str">
        <x:v>HU CHENGCHENG</x:v>
      </x:c>
      <x:c r="P125" s="89" t="str">
        <x:v>EMP1677</x:v>
      </x:c>
      <x:c r="Q125" s="89"/>
      <x:c r="R125" s="89"/>
      <x:c r="S125" s="89"/>
      <x:c r="T125" s="89"/>
      <x:c r="U125" s="89"/>
      <x:c r="V125" s="10"/>
      <x:c r="W125" s="89" t="str">
        <x:v>SDE Timetable Requirements (2510).xlsx</x:v>
      </x:c>
      <x:c r="X125" s="134" t="n">
        <x:v>9</x:v>
      </x:c>
    </x:row>
    <x:row r="126" ht="22" customHeight="1">
      <x:c r="A126" s="66" t="str">
        <x:v>REQ-FDT-FDT1012-TUT-02</x:v>
      </x:c>
      <x:c r="B126" s="80" t="str">
        <x:v>FDT</x:v>
      </x:c>
      <x:c r="C126" s="117" t="n">
        <x:v>1</x:v>
      </x:c>
      <x:c r="D126" s="47" t="str">
        <x:v>FDT Y1 P1</x:v>
      </x:c>
      <x:c r="E126" s="88" t="str">
        <x:v>FDT1012</x:v>
      </x:c>
      <x:c r="F126" s="100" t="str">
        <x:v>FDT1012</x:v>
      </x:c>
      <x:c r="G126" s="47" t="str">
        <x:v>Tutorial</x:v>
      </x:c>
      <x:c r="H126" s="117" t="n">
        <x:v>1</x:v>
      </x:c>
      <x:c r="I126" s="130" t="n">
        <x:v>2</x:v>
      </x:c>
      <x:c r="J126" s="117" t="n">
        <x:v>1</x:v>
      </x:c>
      <x:c r="K126" s="47" t="str">
        <x:v>Face-to-face</x:v>
      </x:c>
      <x:c r="L126" s="47" t="str">
        <x:v>Seminar Room</x:v>
      </x:c>
      <x:c r="M126" s="47" t="str">
        <x:v>Physical</x:v>
      </x:c>
      <x:c r="N126" s="117" t="n">
        <x:v>40</x:v>
      </x:c>
      <x:c r="O126" s="100" t="str">
        <x:v>HU CHENGCHENG</x:v>
      </x:c>
      <x:c r="P126" s="100" t="str">
        <x:v>EMP1677</x:v>
      </x:c>
      <x:c r="Q126" s="100"/>
      <x:c r="R126" s="100"/>
      <x:c r="S126" s="100"/>
      <x:c r="T126" s="100"/>
      <x:c r="U126" s="100"/>
      <x:c r="V126" s="47"/>
      <x:c r="W126" s="100" t="str">
        <x:v>Requirements Template_ENG.xlsx + current admin module database</x:v>
      </x:c>
      <x:c r="X126" s="145" t="n">
        <x:v>242</x:v>
      </x:c>
    </x:row>
    <x:row r="127" ht="22" customHeight="1">
      <x:c r="A127" s="56" t="str">
        <x:v>REQ-FDT-FDT1012-QZ-03</x:v>
      </x:c>
      <x:c r="B127" s="70" t="str">
        <x:v>FDT</x:v>
      </x:c>
      <x:c r="C127" s="107" t="n">
        <x:v>1</x:v>
      </x:c>
      <x:c r="D127" s="13" t="str">
        <x:v>FDT Y1 P1</x:v>
      </x:c>
      <x:c r="E127" s="87" t="str">
        <x:v>FDT1012</x:v>
      </x:c>
      <x:c r="F127" s="90" t="str">
        <x:v>FDT1012</x:v>
      </x:c>
      <x:c r="G127" s="44" t="str">
        <x:v>Quiz</x:v>
      </x:c>
      <x:c r="H127" s="116" t="n">
        <x:v>1</x:v>
      </x:c>
      <x:c r="I127" s="126" t="n">
        <x:v>1</x:v>
      </x:c>
      <x:c r="J127" s="107" t="n">
        <x:v>1</x:v>
      </x:c>
      <x:c r="K127" s="13" t="str">
        <x:v>Face-to-face</x:v>
      </x:c>
      <x:c r="L127" s="13" t="str">
        <x:v>Lectorial</x:v>
      </x:c>
      <x:c r="M127" s="13" t="str">
        <x:v>Physical</x:v>
      </x:c>
      <x:c r="N127" s="107" t="n">
        <x:v>40</x:v>
      </x:c>
      <x:c r="O127" s="90" t="str">
        <x:v>HU CHENGCHENG</x:v>
      </x:c>
      <x:c r="P127" s="90" t="str">
        <x:v>EMP1677</x:v>
      </x:c>
      <x:c r="Q127" s="90"/>
      <x:c r="R127" s="90"/>
      <x:c r="S127" s="90"/>
      <x:c r="T127" s="90"/>
      <x:c r="U127" s="90"/>
      <x:c r="V127" s="13"/>
      <x:c r="W127" s="90" t="str">
        <x:v>SDE Timetable Requirements (2510).xlsx</x:v>
      </x:c>
      <x:c r="X127" s="135" t="n">
        <x:v>10</x:v>
      </x:c>
    </x:row>
    <x:row r="128" ht="22" customHeight="1">
      <x:c r="A128" s="57" t="str">
        <x:v>REQ-FDT-FDT1013-LCT-01</x:v>
      </x:c>
      <x:c r="B128" s="71" t="str">
        <x:v>FDT</x:v>
      </x:c>
      <x:c r="C128" s="108" t="n">
        <x:v>1</x:v>
      </x:c>
      <x:c r="D128" s="17" t="str">
        <x:v>FDT Y1 P1</x:v>
      </x:c>
      <x:c r="E128" s="86" t="str">
        <x:v>FDT1013</x:v>
      </x:c>
      <x:c r="F128" s="91" t="str">
        <x:v>FDT1013</x:v>
      </x:c>
      <x:c r="G128" s="17" t="str">
        <x:v>Lectorial</x:v>
      </x:c>
      <x:c r="H128" s="108" t="n">
        <x:v>1</x:v>
      </x:c>
      <x:c r="I128" s="122" t="n">
        <x:v>2</x:v>
      </x:c>
      <x:c r="J128" s="108" t="n">
        <x:v>1</x:v>
      </x:c>
      <x:c r="K128" s="17" t="str">
        <x:v>Face-to-face</x:v>
      </x:c>
      <x:c r="L128" s="17" t="str">
        <x:v>Lectorial</x:v>
      </x:c>
      <x:c r="M128" s="17" t="str">
        <x:v>Physical</x:v>
      </x:c>
      <x:c r="N128" s="108" t="n">
        <x:v>40</x:v>
      </x:c>
      <x:c r="O128" s="91" t="str">
        <x:v>HU CHENGCHENG</x:v>
      </x:c>
      <x:c r="P128" s="91" t="str">
        <x:v>EMP1677</x:v>
      </x:c>
      <x:c r="Q128" s="91"/>
      <x:c r="R128" s="91"/>
      <x:c r="S128" s="91"/>
      <x:c r="T128" s="91"/>
      <x:c r="U128" s="91"/>
      <x:c r="V128" s="17"/>
      <x:c r="W128" s="91" t="str">
        <x:v>SDE Timetable Requirements (2510).xlsx</x:v>
      </x:c>
      <x:c r="X128" s="136" t="n">
        <x:v>9</x:v>
      </x:c>
    </x:row>
    <x:row r="129" ht="22" customHeight="1">
      <x:c r="A129" s="58" t="str">
        <x:v>REQ-FDT-FDT1013-TUT-02</x:v>
      </x:c>
      <x:c r="B129" s="72" t="str">
        <x:v>FDT</x:v>
      </x:c>
      <x:c r="C129" s="109" t="n">
        <x:v>1</x:v>
      </x:c>
      <x:c r="D129" s="20" t="str">
        <x:v>FDT Y1 P1</x:v>
      </x:c>
      <x:c r="E129" s="87" t="str">
        <x:v>FDT1013</x:v>
      </x:c>
      <x:c r="F129" s="92" t="str">
        <x:v>FDT1013</x:v>
      </x:c>
      <x:c r="G129" s="20" t="str">
        <x:v>Tutorial</x:v>
      </x:c>
      <x:c r="H129" s="109" t="n">
        <x:v>1</x:v>
      </x:c>
      <x:c r="I129" s="123" t="n">
        <x:v>2</x:v>
      </x:c>
      <x:c r="J129" s="109" t="n">
        <x:v>1</x:v>
      </x:c>
      <x:c r="K129" s="20" t="str">
        <x:v>Face-to-face</x:v>
      </x:c>
      <x:c r="L129" s="20" t="str">
        <x:v>Seminar Room</x:v>
      </x:c>
      <x:c r="M129" s="20" t="str">
        <x:v>Physical</x:v>
      </x:c>
      <x:c r="N129" s="109" t="n">
        <x:v>40</x:v>
      </x:c>
      <x:c r="O129" s="92" t="str">
        <x:v>HU CHENGCHENG</x:v>
      </x:c>
      <x:c r="P129" s="92" t="str">
        <x:v>EMP1677</x:v>
      </x:c>
      <x:c r="Q129" s="92"/>
      <x:c r="R129" s="92"/>
      <x:c r="S129" s="92"/>
      <x:c r="T129" s="92"/>
      <x:c r="U129" s="92"/>
      <x:c r="V129" s="20"/>
      <x:c r="W129" s="92" t="str">
        <x:v>Requirements Template_ENG.xlsx + current admin module database</x:v>
      </x:c>
      <x:c r="X129" s="137" t="n">
        <x:v>243</x:v>
      </x:c>
    </x:row>
    <x:row r="130" ht="22" customHeight="1">
      <x:c r="A130" s="59" t="str">
        <x:v>REQ-FDT-FDT1021-LCT-01</x:v>
      </x:c>
      <x:c r="B130" s="73" t="str">
        <x:v>FDT</x:v>
      </x:c>
      <x:c r="C130" s="110" t="n">
        <x:v>1</x:v>
      </x:c>
      <x:c r="D130" s="24" t="str">
        <x:v>FDT Y1 P1</x:v>
      </x:c>
      <x:c r="E130" s="86" t="str">
        <x:v>FDT1021</x:v>
      </x:c>
      <x:c r="F130" s="93" t="str">
        <x:v>FDT1021</x:v>
      </x:c>
      <x:c r="G130" s="24" t="str">
        <x:v>Lectorial</x:v>
      </x:c>
      <x:c r="H130" s="110" t="n">
        <x:v>1</x:v>
      </x:c>
      <x:c r="I130" s="124" t="n">
        <x:v>2</x:v>
      </x:c>
      <x:c r="J130" s="110" t="n">
        <x:v>1</x:v>
      </x:c>
      <x:c r="K130" s="24" t="str">
        <x:v>Face-to-face</x:v>
      </x:c>
      <x:c r="L130" s="24" t="str">
        <x:v>Lectorial</x:v>
      </x:c>
      <x:c r="M130" s="24" t="str">
        <x:v>Physical</x:v>
      </x:c>
      <x:c r="N130" s="110" t="n">
        <x:v>40</x:v>
      </x:c>
      <x:c r="O130" s="93" t="str">
        <x:v>HU CHENGCHENG</x:v>
      </x:c>
      <x:c r="P130" s="93" t="str">
        <x:v>EMP1677</x:v>
      </x:c>
      <x:c r="Q130" s="93"/>
      <x:c r="R130" s="93"/>
      <x:c r="S130" s="93"/>
      <x:c r="T130" s="93"/>
      <x:c r="U130" s="93"/>
      <x:c r="V130" s="24"/>
      <x:c r="W130" s="93" t="str">
        <x:v>SDE Timetable Requirements (2510).xlsx</x:v>
      </x:c>
      <x:c r="X130" s="138" t="n">
        <x:v>9</x:v>
      </x:c>
    </x:row>
    <x:row r="131" ht="22" customHeight="1">
      <x:c r="A131" s="61" t="str">
        <x:v>REQ-FDT-FDT1021-TUT-02</x:v>
      </x:c>
      <x:c r="B131" s="75" t="str">
        <x:v>FDT</x:v>
      </x:c>
      <x:c r="C131" s="112" t="n">
        <x:v>1</x:v>
      </x:c>
      <x:c r="D131" s="30" t="str">
        <x:v>FDT Y1 P1</x:v>
      </x:c>
      <x:c r="E131" s="87" t="str">
        <x:v>FDT1021</x:v>
      </x:c>
      <x:c r="F131" s="95" t="str">
        <x:v>FDT1021</x:v>
      </x:c>
      <x:c r="G131" s="30" t="str">
        <x:v>Tutorial</x:v>
      </x:c>
      <x:c r="H131" s="112" t="n">
        <x:v>1</x:v>
      </x:c>
      <x:c r="I131" s="131" t="n">
        <x:v>2</x:v>
      </x:c>
      <x:c r="J131" s="112" t="n">
        <x:v>1</x:v>
      </x:c>
      <x:c r="K131" s="30" t="str">
        <x:v>Face-to-face</x:v>
      </x:c>
      <x:c r="L131" s="30" t="str">
        <x:v>Seminar Room</x:v>
      </x:c>
      <x:c r="M131" s="30" t="str">
        <x:v>Physical</x:v>
      </x:c>
      <x:c r="N131" s="112" t="n">
        <x:v>40</x:v>
      </x:c>
      <x:c r="O131" s="95" t="str">
        <x:v>HU CHENGCHENG</x:v>
      </x:c>
      <x:c r="P131" s="95" t="str">
        <x:v>EMP1677</x:v>
      </x:c>
      <x:c r="Q131" s="95"/>
      <x:c r="R131" s="95"/>
      <x:c r="S131" s="95"/>
      <x:c r="T131" s="95"/>
      <x:c r="U131" s="95"/>
      <x:c r="V131" s="30"/>
      <x:c r="W131" s="95" t="str">
        <x:v>Requirements Template_ENG.xlsx + current admin module database</x:v>
      </x:c>
      <x:c r="X131" s="140" t="n">
        <x:v>244</x:v>
      </x:c>
    </x:row>
    <x:row r="132" ht="22" customHeight="1">
      <x:c r="A132" s="62" t="str">
        <x:v>REQ-FDT-FDT2011-LCT-01</x:v>
      </x:c>
      <x:c r="B132" s="76" t="str">
        <x:v>FDT</x:v>
      </x:c>
      <x:c r="C132" s="113" t="n">
        <x:v>2</x:v>
      </x:c>
      <x:c r="D132" s="34" t="str">
        <x:v>FDT Y2 P1</x:v>
      </x:c>
      <x:c r="E132" s="86" t="str">
        <x:v>FDT2011</x:v>
      </x:c>
      <x:c r="F132" s="96" t="str">
        <x:v>FDT2011</x:v>
      </x:c>
      <x:c r="G132" s="34" t="str">
        <x:v>Lectorial</x:v>
      </x:c>
      <x:c r="H132" s="113" t="n">
        <x:v>1</x:v>
      </x:c>
      <x:c r="I132" s="127" t="n">
        <x:v>2</x:v>
      </x:c>
      <x:c r="J132" s="113" t="n">
        <x:v>1</x:v>
      </x:c>
      <x:c r="K132" s="34" t="str">
        <x:v>Face-to-face</x:v>
      </x:c>
      <x:c r="L132" s="34" t="str">
        <x:v>Lectorial</x:v>
      </x:c>
      <x:c r="M132" s="34" t="str">
        <x:v>Physical</x:v>
      </x:c>
      <x:c r="N132" s="113" t="n">
        <x:v>40</x:v>
      </x:c>
      <x:c r="O132" s="96" t="str">
        <x:v>HU CHENGCHENG</x:v>
      </x:c>
      <x:c r="P132" s="96" t="str">
        <x:v>EMP1677</x:v>
      </x:c>
      <x:c r="Q132" s="96"/>
      <x:c r="R132" s="96"/>
      <x:c r="S132" s="96"/>
      <x:c r="T132" s="96"/>
      <x:c r="U132" s="96"/>
      <x:c r="V132" s="34"/>
      <x:c r="W132" s="96" t="str">
        <x:v>SDE Timetable Requirements (2510).xlsx</x:v>
      </x:c>
      <x:c r="X132" s="141" t="n">
        <x:v>9</x:v>
      </x:c>
    </x:row>
    <x:row r="133" ht="22" customHeight="1">
      <x:c r="A133" s="63" t="str">
        <x:v>REQ-FDT-FDT2011-TUT-02</x:v>
      </x:c>
      <x:c r="B133" s="77" t="str">
        <x:v>FDT</x:v>
      </x:c>
      <x:c r="C133" s="114" t="n">
        <x:v>2</x:v>
      </x:c>
      <x:c r="D133" s="37" t="str">
        <x:v>FDT Y2 P1</x:v>
      </x:c>
      <x:c r="E133" s="87" t="str">
        <x:v>FDT2011</x:v>
      </x:c>
      <x:c r="F133" s="97" t="str">
        <x:v>FDT2011</x:v>
      </x:c>
      <x:c r="G133" s="37" t="str">
        <x:v>Tutorial</x:v>
      </x:c>
      <x:c r="H133" s="114" t="n">
        <x:v>1</x:v>
      </x:c>
      <x:c r="I133" s="128" t="n">
        <x:v>2</x:v>
      </x:c>
      <x:c r="J133" s="114" t="n">
        <x:v>1</x:v>
      </x:c>
      <x:c r="K133" s="37" t="str">
        <x:v>Face-to-face</x:v>
      </x:c>
      <x:c r="L133" s="37" t="str">
        <x:v>Seminar Room</x:v>
      </x:c>
      <x:c r="M133" s="37" t="str">
        <x:v>Physical</x:v>
      </x:c>
      <x:c r="N133" s="114" t="n">
        <x:v>40</x:v>
      </x:c>
      <x:c r="O133" s="97" t="str">
        <x:v>HU CHENGCHENG</x:v>
      </x:c>
      <x:c r="P133" s="97" t="str">
        <x:v>EMP1677</x:v>
      </x:c>
      <x:c r="Q133" s="97"/>
      <x:c r="R133" s="97"/>
      <x:c r="S133" s="97"/>
      <x:c r="T133" s="97"/>
      <x:c r="U133" s="97"/>
      <x:c r="V133" s="37"/>
      <x:c r="W133" s="97" t="str">
        <x:v>Requirements Template_ENG.xlsx + current admin module database</x:v>
      </x:c>
      <x:c r="X133" s="142" t="n">
        <x:v>245</x:v>
      </x:c>
    </x:row>
    <x:row r="134" ht="22" customHeight="1">
      <x:c r="A134" s="64" t="str">
        <x:v>REQ-FDT-FDT2013-LCT-01</x:v>
      </x:c>
      <x:c r="B134" s="78" t="str">
        <x:v>FDT</x:v>
      </x:c>
      <x:c r="C134" s="115" t="n">
        <x:v>2</x:v>
      </x:c>
      <x:c r="D134" s="41" t="str">
        <x:v>FDT Y2 P1</x:v>
      </x:c>
      <x:c r="E134" s="86" t="str">
        <x:v>FDT2013</x:v>
      </x:c>
      <x:c r="F134" s="98" t="str">
        <x:v>FDT2013</x:v>
      </x:c>
      <x:c r="G134" s="41" t="str">
        <x:v>Lectorial</x:v>
      </x:c>
      <x:c r="H134" s="115" t="n">
        <x:v>1</x:v>
      </x:c>
      <x:c r="I134" s="129" t="n">
        <x:v>2</x:v>
      </x:c>
      <x:c r="J134" s="115" t="n">
        <x:v>1</x:v>
      </x:c>
      <x:c r="K134" s="41" t="str">
        <x:v>Face-to-face</x:v>
      </x:c>
      <x:c r="L134" s="41" t="str">
        <x:v>Lectorial</x:v>
      </x:c>
      <x:c r="M134" s="41" t="str">
        <x:v>Physical</x:v>
      </x:c>
      <x:c r="N134" s="115" t="n">
        <x:v>40</x:v>
      </x:c>
      <x:c r="O134" s="98" t="str">
        <x:v>HU CHENGCHENG</x:v>
      </x:c>
      <x:c r="P134" s="98" t="str">
        <x:v>EMP1677</x:v>
      </x:c>
      <x:c r="Q134" s="98"/>
      <x:c r="R134" s="98"/>
      <x:c r="S134" s="98"/>
      <x:c r="T134" s="98"/>
      <x:c r="U134" s="98"/>
      <x:c r="V134" s="41"/>
      <x:c r="W134" s="98" t="str">
        <x:v>SDE Timetable Requirements (2510).xlsx</x:v>
      </x:c>
      <x:c r="X134" s="143" t="n">
        <x:v>9</x:v>
      </x:c>
    </x:row>
    <x:row r="135" ht="22" customHeight="1">
      <x:c r="A135" s="65" t="str">
        <x:v>REQ-FDT-FDT2013-TUT-02</x:v>
      </x:c>
      <x:c r="B135" s="79" t="str">
        <x:v>FDT</x:v>
      </x:c>
      <x:c r="C135" s="116" t="n">
        <x:v>2</x:v>
      </x:c>
      <x:c r="D135" s="44" t="str">
        <x:v>FDT Y2 P1</x:v>
      </x:c>
      <x:c r="E135" s="87" t="str">
        <x:v>FDT2013</x:v>
      </x:c>
      <x:c r="F135" s="99" t="str">
        <x:v>FDT2013</x:v>
      </x:c>
      <x:c r="G135" s="44" t="str">
        <x:v>Tutorial</x:v>
      </x:c>
      <x:c r="H135" s="116" t="n">
        <x:v>1</x:v>
      </x:c>
      <x:c r="I135" s="126" t="n">
        <x:v>2</x:v>
      </x:c>
      <x:c r="J135" s="116" t="n">
        <x:v>1</x:v>
      </x:c>
      <x:c r="K135" s="44" t="str">
        <x:v>Face-to-face</x:v>
      </x:c>
      <x:c r="L135" s="44" t="str">
        <x:v>Seminar Room</x:v>
      </x:c>
      <x:c r="M135" s="44" t="str">
        <x:v>Physical</x:v>
      </x:c>
      <x:c r="N135" s="116" t="n">
        <x:v>40</x:v>
      </x:c>
      <x:c r="O135" s="99" t="str">
        <x:v>HU CHENGCHENG</x:v>
      </x:c>
      <x:c r="P135" s="99" t="str">
        <x:v>EMP1677</x:v>
      </x:c>
      <x:c r="Q135" s="99"/>
      <x:c r="R135" s="99"/>
      <x:c r="S135" s="99"/>
      <x:c r="T135" s="99"/>
      <x:c r="U135" s="99"/>
      <x:c r="V135" s="44"/>
      <x:c r="W135" s="99" t="str">
        <x:v>Requirements Template_ENG.xlsx + current admin module database</x:v>
      </x:c>
      <x:c r="X135" s="144" t="n">
        <x:v>246</x:v>
      </x:c>
    </x:row>
    <x:row r="136" ht="22" customHeight="1">
      <x:c r="A136" s="55" t="str">
        <x:v>REQ-ICT-ICT1012-LEC-01</x:v>
      </x:c>
      <x:c r="B136" s="69" t="str">
        <x:v>ICT</x:v>
      </x:c>
      <x:c r="C136" s="106" t="n">
        <x:v>1</x:v>
      </x:c>
      <x:c r="D136" s="10" t="str">
        <x:v>ICT Y1 P1</x:v>
      </x:c>
      <x:c r="E136" s="86" t="str">
        <x:v>ICT1012</x:v>
      </x:c>
      <x:c r="F136" s="89" t="str">
        <x:v>ICT1012</x:v>
      </x:c>
      <x:c r="G136" s="10" t="str">
        <x:v>Lecture</x:v>
      </x:c>
      <x:c r="H136" s="106" t="n">
        <x:v>1</x:v>
      </x:c>
      <x:c r="I136" s="120" t="n">
        <x:v>2</x:v>
      </x:c>
      <x:c r="J136" s="106" t="n">
        <x:v>1</x:v>
      </x:c>
      <x:c r="K136" s="103" t="str">
        <x:v>Online</x:v>
      </x:c>
      <x:c r="L136" s="103" t="str">
        <x:v>Virtual</x:v>
      </x:c>
      <x:c r="M136" s="103" t="str">
        <x:v>Virtual</x:v>
      </x:c>
      <x:c r="N136" s="106" t="n">
        <x:v>40</x:v>
      </x:c>
      <x:c r="O136" s="89" t="str">
        <x:v>ADRIEL YEO CI LIN</x:v>
      </x:c>
      <x:c r="P136" s="89" t="str">
        <x:v>EMP1021</x:v>
      </x:c>
      <x:c r="Q136" s="89"/>
      <x:c r="R136" s="89"/>
      <x:c r="S136" s="89"/>
      <x:c r="T136" s="89"/>
      <x:c r="U136" s="89"/>
      <x:c r="V136" s="10"/>
      <x:c r="W136" s="89" t="str">
        <x:v>Requirements Template_ENG.xlsx + current admin module database</x:v>
      </x:c>
      <x:c r="X136" s="134" t="n">
        <x:v>272</x:v>
      </x:c>
    </x:row>
    <x:row r="137" ht="22" customHeight="1">
      <x:c r="A137" s="56" t="str">
        <x:v>REQ-ICT-ICT1012-TUT-02</x:v>
      </x:c>
      <x:c r="B137" s="70" t="str">
        <x:v>ICT</x:v>
      </x:c>
      <x:c r="C137" s="107" t="n">
        <x:v>1</x:v>
      </x:c>
      <x:c r="D137" s="13" t="str">
        <x:v>ICT Y1 P1</x:v>
      </x:c>
      <x:c r="E137" s="87" t="str">
        <x:v>ICT1012</x:v>
      </x:c>
      <x:c r="F137" s="90" t="str">
        <x:v>ICT1012</x:v>
      </x:c>
      <x:c r="G137" s="13" t="str">
        <x:v>Tutorial</x:v>
      </x:c>
      <x:c r="H137" s="107" t="n">
        <x:v>1</x:v>
      </x:c>
      <x:c r="I137" s="121" t="n">
        <x:v>2</x:v>
      </x:c>
      <x:c r="J137" s="107" t="n">
        <x:v>1</x:v>
      </x:c>
      <x:c r="K137" s="13" t="str">
        <x:v>Face-to-face</x:v>
      </x:c>
      <x:c r="L137" s="13" t="str">
        <x:v>Seminar Room</x:v>
      </x:c>
      <x:c r="M137" s="13" t="str">
        <x:v>Physical</x:v>
      </x:c>
      <x:c r="N137" s="107" t="n">
        <x:v>40</x:v>
      </x:c>
      <x:c r="O137" s="90" t="str">
        <x:v>ADRIEL YEO CI LIN</x:v>
      </x:c>
      <x:c r="P137" s="90" t="str">
        <x:v>EMP1021</x:v>
      </x:c>
      <x:c r="Q137" s="90"/>
      <x:c r="R137" s="90"/>
      <x:c r="S137" s="90"/>
      <x:c r="T137" s="90"/>
      <x:c r="U137" s="90"/>
      <x:c r="V137" s="13"/>
      <x:c r="W137" s="90" t="str">
        <x:v>Requirements Template_ENG.xlsx + current admin module database</x:v>
      </x:c>
      <x:c r="X137" s="135" t="n">
        <x:v>272</x:v>
      </x:c>
    </x:row>
    <x:row r="138" ht="22" customHeight="1">
      <x:c r="A138" s="57" t="str">
        <x:v>REQ-ICT-ICT1013-LCT-01</x:v>
      </x:c>
      <x:c r="B138" s="71" t="str">
        <x:v>ICT</x:v>
      </x:c>
      <x:c r="C138" s="108" t="n">
        <x:v>1</x:v>
      </x:c>
      <x:c r="D138" s="17" t="str">
        <x:v>ICT Y1 P1</x:v>
      </x:c>
      <x:c r="E138" s="86" t="str">
        <x:v>ICT1013</x:v>
      </x:c>
      <x:c r="F138" s="91" t="str">
        <x:v>ICT1013</x:v>
      </x:c>
      <x:c r="G138" s="17" t="str">
        <x:v>Lectorial</x:v>
      </x:c>
      <x:c r="H138" s="108" t="n">
        <x:v>1</x:v>
      </x:c>
      <x:c r="I138" s="122" t="n">
        <x:v>2</x:v>
      </x:c>
      <x:c r="J138" s="108" t="n">
        <x:v>1</x:v>
      </x:c>
      <x:c r="K138" s="17" t="str">
        <x:v>Face-to-face</x:v>
      </x:c>
      <x:c r="L138" s="17" t="str">
        <x:v>Lectorial</x:v>
      </x:c>
      <x:c r="M138" s="17" t="str">
        <x:v>Physical</x:v>
      </x:c>
      <x:c r="N138" s="108" t="n">
        <x:v>40</x:v>
      </x:c>
      <x:c r="O138" s="91" t="str">
        <x:v>AFIDA BINTE ABDUL RAHIM</x:v>
      </x:c>
      <x:c r="P138" s="91" t="str">
        <x:v>EMP1022</x:v>
      </x:c>
      <x:c r="Q138" s="91"/>
      <x:c r="R138" s="91"/>
      <x:c r="S138" s="91"/>
      <x:c r="T138" s="91"/>
      <x:c r="U138" s="91"/>
      <x:c r="V138" s="17"/>
      <x:c r="W138" s="91" t="str">
        <x:v>Requirements Template_ENG.xlsx + current admin module database</x:v>
      </x:c>
      <x:c r="X138" s="136" t="n">
        <x:v>273</x:v>
      </x:c>
    </x:row>
    <x:row r="139" ht="22" customHeight="1">
      <x:c r="A139" s="58" t="str">
        <x:v>REQ-ICT-ICT1013-TUT-02</x:v>
      </x:c>
      <x:c r="B139" s="72" t="str">
        <x:v>ICT</x:v>
      </x:c>
      <x:c r="C139" s="109" t="n">
        <x:v>1</x:v>
      </x:c>
      <x:c r="D139" s="20" t="str">
        <x:v>ICT Y1 P1</x:v>
      </x:c>
      <x:c r="E139" s="87" t="str">
        <x:v>ICT1013</x:v>
      </x:c>
      <x:c r="F139" s="92" t="str">
        <x:v>ICT1013</x:v>
      </x:c>
      <x:c r="G139" s="20" t="str">
        <x:v>Tutorial</x:v>
      </x:c>
      <x:c r="H139" s="109" t="n">
        <x:v>1</x:v>
      </x:c>
      <x:c r="I139" s="123" t="n">
        <x:v>2</x:v>
      </x:c>
      <x:c r="J139" s="109" t="n">
        <x:v>1</x:v>
      </x:c>
      <x:c r="K139" s="20" t="str">
        <x:v>Face-to-face</x:v>
      </x:c>
      <x:c r="L139" s="20" t="str">
        <x:v>Seminar Room</x:v>
      </x:c>
      <x:c r="M139" s="20" t="str">
        <x:v>Physical</x:v>
      </x:c>
      <x:c r="N139" s="109" t="n">
        <x:v>40</x:v>
      </x:c>
      <x:c r="O139" s="92" t="str">
        <x:v>AFIDA BINTE ABDUL RAHIM</x:v>
      </x:c>
      <x:c r="P139" s="92" t="str">
        <x:v>EMP1022</x:v>
      </x:c>
      <x:c r="Q139" s="92"/>
      <x:c r="R139" s="92"/>
      <x:c r="S139" s="92"/>
      <x:c r="T139" s="92"/>
      <x:c r="U139" s="92"/>
      <x:c r="V139" s="20"/>
      <x:c r="W139" s="92" t="str">
        <x:v>Requirements Template_ENG.xlsx + current admin module database</x:v>
      </x:c>
      <x:c r="X139" s="137" t="n">
        <x:v>273</x:v>
      </x:c>
    </x:row>
    <x:row r="140" ht="22" customHeight="1">
      <x:c r="A140" s="59" t="str">
        <x:v>REQ-ICT-ICT2112-LEC-01</x:v>
      </x:c>
      <x:c r="B140" s="73" t="str">
        <x:v>ICT</x:v>
      </x:c>
      <x:c r="C140" s="110" t="n">
        <x:v>2</x:v>
      </x:c>
      <x:c r="D140" s="24" t="str">
        <x:v>ICT Y2 P1</x:v>
      </x:c>
      <x:c r="E140" s="86" t="str">
        <x:v>ICT2112</x:v>
      </x:c>
      <x:c r="F140" s="93" t="str">
        <x:v>ICT2112</x:v>
      </x:c>
      <x:c r="G140" s="24" t="str">
        <x:v>Lecture</x:v>
      </x:c>
      <x:c r="H140" s="110" t="n">
        <x:v>1</x:v>
      </x:c>
      <x:c r="I140" s="124" t="n">
        <x:v>2</x:v>
      </x:c>
      <x:c r="J140" s="110" t="n">
        <x:v>1</x:v>
      </x:c>
      <x:c r="K140" s="24" t="str">
        <x:v>Face-to-face</x:v>
      </x:c>
      <x:c r="L140" s="24" t="str">
        <x:v>Lectorial</x:v>
      </x:c>
      <x:c r="M140" s="24" t="str">
        <x:v>Physical</x:v>
      </x:c>
      <x:c r="N140" s="110" t="n">
        <x:v>40</x:v>
      </x:c>
      <x:c r="O140" s="93" t="str">
        <x:v>AGUSTINUS WELLSON TENGOURTIUS</x:v>
      </x:c>
      <x:c r="P140" s="93" t="str">
        <x:v>EMP1023</x:v>
      </x:c>
      <x:c r="Q140" s="93"/>
      <x:c r="R140" s="93"/>
      <x:c r="S140" s="93"/>
      <x:c r="T140" s="93"/>
      <x:c r="U140" s="93"/>
      <x:c r="V140" s="24"/>
      <x:c r="W140" s="93" t="str">
        <x:v>Requirements Template_ENG.xlsx + current admin module database</x:v>
      </x:c>
      <x:c r="X140" s="138" t="n">
        <x:v>274</x:v>
      </x:c>
    </x:row>
    <x:row r="141" ht="22" customHeight="1">
      <x:c r="A141" s="60" t="str">
        <x:v>REQ-ICT-ICT2112-TUT-02</x:v>
      </x:c>
      <x:c r="B141" s="74" t="str">
        <x:v>ICT</x:v>
      </x:c>
      <x:c r="C141" s="111" t="n">
        <x:v>2</x:v>
      </x:c>
      <x:c r="D141" s="27" t="str">
        <x:v>ICT Y2 P1</x:v>
      </x:c>
      <x:c r="E141" s="88" t="str">
        <x:v>ICT2112</x:v>
      </x:c>
      <x:c r="F141" s="94" t="str">
        <x:v>ICT2112</x:v>
      </x:c>
      <x:c r="G141" s="27" t="str">
        <x:v>Tutorial</x:v>
      </x:c>
      <x:c r="H141" s="111" t="n">
        <x:v>1</x:v>
      </x:c>
      <x:c r="I141" s="125" t="n">
        <x:v>2</x:v>
      </x:c>
      <x:c r="J141" s="111" t="n">
        <x:v>1</x:v>
      </x:c>
      <x:c r="K141" s="27" t="str">
        <x:v>Face-to-face</x:v>
      </x:c>
      <x:c r="L141" s="27" t="str">
        <x:v>Seminar Room</x:v>
      </x:c>
      <x:c r="M141" s="27" t="str">
        <x:v>Physical</x:v>
      </x:c>
      <x:c r="N141" s="111" t="n">
        <x:v>40</x:v>
      </x:c>
      <x:c r="O141" s="94" t="str">
        <x:v>AGUSTINUS WELLSON TENGOURTIUS</x:v>
      </x:c>
      <x:c r="P141" s="94" t="str">
        <x:v>EMP1023</x:v>
      </x:c>
      <x:c r="Q141" s="94"/>
      <x:c r="R141" s="94"/>
      <x:c r="S141" s="94"/>
      <x:c r="T141" s="94"/>
      <x:c r="U141" s="94"/>
      <x:c r="V141" s="27"/>
      <x:c r="W141" s="94" t="str">
        <x:v>Requirements Template_ENG.xlsx + current admin module database</x:v>
      </x:c>
      <x:c r="X141" s="139" t="n">
        <x:v>274</x:v>
      </x:c>
    </x:row>
    <x:row r="142" ht="22" customHeight="1">
      <x:c r="A142" s="61" t="str">
        <x:v>REQ-ICT-ICT2112-QZ-03</x:v>
      </x:c>
      <x:c r="B142" s="75" t="str">
        <x:v>ICT</x:v>
      </x:c>
      <x:c r="C142" s="112" t="n">
        <x:v>2</x:v>
      </x:c>
      <x:c r="D142" s="30" t="str">
        <x:v>ICT Y2 P1</x:v>
      </x:c>
      <x:c r="E142" s="87" t="str">
        <x:v>ICT2112</x:v>
      </x:c>
      <x:c r="F142" s="95" t="str">
        <x:v>ICT2112</x:v>
      </x:c>
      <x:c r="G142" s="44" t="str">
        <x:v>Quiz</x:v>
      </x:c>
      <x:c r="H142" s="116" t="n">
        <x:v>1</x:v>
      </x:c>
      <x:c r="I142" s="126" t="n">
        <x:v>1</x:v>
      </x:c>
      <x:c r="J142" s="112" t="n">
        <x:v>1</x:v>
      </x:c>
      <x:c r="K142" s="30" t="str">
        <x:v>Face-to-face</x:v>
      </x:c>
      <x:c r="L142" s="30" t="str">
        <x:v>Lectorial</x:v>
      </x:c>
      <x:c r="M142" s="30" t="str">
        <x:v>Physical</x:v>
      </x:c>
      <x:c r="N142" s="112" t="n">
        <x:v>40</x:v>
      </x:c>
      <x:c r="O142" s="95" t="str">
        <x:v>AGUSTINUS WELLSON TENGOURTIUS</x:v>
      </x:c>
      <x:c r="P142" s="95" t="str">
        <x:v>EMP1023</x:v>
      </x:c>
      <x:c r="Q142" s="95"/>
      <x:c r="R142" s="95"/>
      <x:c r="S142" s="95"/>
      <x:c r="T142" s="95"/>
      <x:c r="U142" s="95"/>
      <x:c r="V142" s="30"/>
      <x:c r="W142" s="95" t="str">
        <x:v>Requirements Template_ENG.xlsx + current admin module database</x:v>
      </x:c>
      <x:c r="X142" s="140" t="n">
        <x:v>274</x:v>
      </x:c>
    </x:row>
    <x:row r="143" ht="22" customHeight="1">
      <x:c r="A143" s="62" t="str">
        <x:v>REQ-ICT-ICT2113-WKS-01</x:v>
      </x:c>
      <x:c r="B143" s="76" t="str">
        <x:v>ICT</x:v>
      </x:c>
      <x:c r="C143" s="113" t="n">
        <x:v>2</x:v>
      </x:c>
      <x:c r="D143" s="34" t="str">
        <x:v>ICT Y2 P1</x:v>
      </x:c>
      <x:c r="E143" s="86" t="str">
        <x:v>ICT2113</x:v>
      </x:c>
      <x:c r="F143" s="96" t="str">
        <x:v>ICT2113</x:v>
      </x:c>
      <x:c r="G143" s="34" t="str">
        <x:v>Workshop</x:v>
      </x:c>
      <x:c r="H143" s="113" t="n">
        <x:v>1</x:v>
      </x:c>
      <x:c r="I143" s="127" t="n">
        <x:v>3</x:v>
      </x:c>
      <x:c r="J143" s="113" t="n">
        <x:v>1</x:v>
      </x:c>
      <x:c r="K143" s="34" t="str">
        <x:v>Face-to-face</x:v>
      </x:c>
      <x:c r="L143" s="34" t="str">
        <x:v>Seminar Room</x:v>
      </x:c>
      <x:c r="M143" s="34" t="str">
        <x:v>Physical</x:v>
      </x:c>
      <x:c r="N143" s="113" t="n">
        <x:v>40</x:v>
      </x:c>
      <x:c r="O143" s="96" t="str">
        <x:v>AHMAD IQBAL BIN KAMARI</x:v>
      </x:c>
      <x:c r="P143" s="96" t="str">
        <x:v>EMP1024</x:v>
      </x:c>
      <x:c r="Q143" s="96"/>
      <x:c r="R143" s="96"/>
      <x:c r="S143" s="96"/>
      <x:c r="T143" s="96"/>
      <x:c r="U143" s="96"/>
      <x:c r="V143" s="34"/>
      <x:c r="W143" s="96" t="str">
        <x:v>Requirements Template_ENG.xlsx + current admin module database</x:v>
      </x:c>
      <x:c r="X143" s="141" t="n">
        <x:v>275</x:v>
      </x:c>
    </x:row>
    <x:row r="144" ht="22" customHeight="1">
      <x:c r="A144" s="63" t="str">
        <x:v>REQ-ICT-ICT2113-SEM-02</x:v>
      </x:c>
      <x:c r="B144" s="77" t="str">
        <x:v>ICT</x:v>
      </x:c>
      <x:c r="C144" s="114" t="n">
        <x:v>2</x:v>
      </x:c>
      <x:c r="D144" s="37" t="str">
        <x:v>ICT Y2 P1</x:v>
      </x:c>
      <x:c r="E144" s="87" t="str">
        <x:v>ICT2113</x:v>
      </x:c>
      <x:c r="F144" s="97" t="str">
        <x:v>ICT2113</x:v>
      </x:c>
      <x:c r="G144" s="37" t="str">
        <x:v>Seminar</x:v>
      </x:c>
      <x:c r="H144" s="114" t="n">
        <x:v>1</x:v>
      </x:c>
      <x:c r="I144" s="128" t="n">
        <x:v>2</x:v>
      </x:c>
      <x:c r="J144" s="114" t="n">
        <x:v>1</x:v>
      </x:c>
      <x:c r="K144" s="37" t="str">
        <x:v>Face-to-face</x:v>
      </x:c>
      <x:c r="L144" s="37" t="str">
        <x:v>Seminar Room</x:v>
      </x:c>
      <x:c r="M144" s="37" t="str">
        <x:v>Physical</x:v>
      </x:c>
      <x:c r="N144" s="114" t="n">
        <x:v>40</x:v>
      </x:c>
      <x:c r="O144" s="97" t="str">
        <x:v>AHMAD IQBAL BIN KAMARI</x:v>
      </x:c>
      <x:c r="P144" s="97" t="str">
        <x:v>EMP1024</x:v>
      </x:c>
      <x:c r="Q144" s="97"/>
      <x:c r="R144" s="97"/>
      <x:c r="S144" s="97"/>
      <x:c r="T144" s="97"/>
      <x:c r="U144" s="97"/>
      <x:c r="V144" s="37"/>
      <x:c r="W144" s="97" t="str">
        <x:v>Requirements Template_ENG.xlsx + current admin module database</x:v>
      </x:c>
      <x:c r="X144" s="142" t="n">
        <x:v>275</x:v>
      </x:c>
    </x:row>
    <x:row r="145" ht="22" customHeight="1">
      <x:c r="A145" s="64" t="str">
        <x:v>REQ-ICT-ICT2114-LEC-01</x:v>
      </x:c>
      <x:c r="B145" s="78" t="str">
        <x:v>ICT</x:v>
      </x:c>
      <x:c r="C145" s="115" t="n">
        <x:v>2</x:v>
      </x:c>
      <x:c r="D145" s="41" t="str">
        <x:v>ICT Y2 P1</x:v>
      </x:c>
      <x:c r="E145" s="86" t="str">
        <x:v>ICT2114</x:v>
      </x:c>
      <x:c r="F145" s="98" t="str">
        <x:v>ICT2114</x:v>
      </x:c>
      <x:c r="G145" s="41" t="str">
        <x:v>Lecture</x:v>
      </x:c>
      <x:c r="H145" s="115" t="n">
        <x:v>1</x:v>
      </x:c>
      <x:c r="I145" s="129" t="n">
        <x:v>2</x:v>
      </x:c>
      <x:c r="J145" s="115" t="n">
        <x:v>1</x:v>
      </x:c>
      <x:c r="K145" s="41" t="str">
        <x:v>Face-to-face</x:v>
      </x:c>
      <x:c r="L145" s="41" t="str">
        <x:v>Lectorial</x:v>
      </x:c>
      <x:c r="M145" s="41" t="str">
        <x:v>Physical</x:v>
      </x:c>
      <x:c r="N145" s="115" t="n">
        <x:v>40</x:v>
      </x:c>
      <x:c r="O145" s="98" t="str">
        <x:v>AHMAD ZAHIRI BIN MOHAMED HASSAN</x:v>
      </x:c>
      <x:c r="P145" s="98" t="str">
        <x:v>EMP1025</x:v>
      </x:c>
      <x:c r="Q145" s="98"/>
      <x:c r="R145" s="98"/>
      <x:c r="S145" s="98"/>
      <x:c r="T145" s="98"/>
      <x:c r="U145" s="98"/>
      <x:c r="V145" s="41"/>
      <x:c r="W145" s="98" t="str">
        <x:v>Requirements Template_ENG.xlsx + current admin module database</x:v>
      </x:c>
      <x:c r="X145" s="143" t="n">
        <x:v>276</x:v>
      </x:c>
    </x:row>
    <x:row r="146" ht="22" customHeight="1">
      <x:c r="A146" s="65" t="str">
        <x:v>REQ-ICT-ICT2114-TUT-02</x:v>
      </x:c>
      <x:c r="B146" s="79" t="str">
        <x:v>ICT</x:v>
      </x:c>
      <x:c r="C146" s="116" t="n">
        <x:v>2</x:v>
      </x:c>
      <x:c r="D146" s="44" t="str">
        <x:v>ICT Y2 P1</x:v>
      </x:c>
      <x:c r="E146" s="87" t="str">
        <x:v>ICT2114</x:v>
      </x:c>
      <x:c r="F146" s="99" t="str">
        <x:v>ICT2114</x:v>
      </x:c>
      <x:c r="G146" s="44" t="str">
        <x:v>Tutorial</x:v>
      </x:c>
      <x:c r="H146" s="116" t="n">
        <x:v>1</x:v>
      </x:c>
      <x:c r="I146" s="126" t="n">
        <x:v>2</x:v>
      </x:c>
      <x:c r="J146" s="116" t="n">
        <x:v>1</x:v>
      </x:c>
      <x:c r="K146" s="44" t="str">
        <x:v>Face-to-face</x:v>
      </x:c>
      <x:c r="L146" s="44" t="str">
        <x:v>Seminar Room</x:v>
      </x:c>
      <x:c r="M146" s="44" t="str">
        <x:v>Physical</x:v>
      </x:c>
      <x:c r="N146" s="116" t="n">
        <x:v>40</x:v>
      </x:c>
      <x:c r="O146" s="99" t="str">
        <x:v>AHMAD ZAHIRI BIN MOHAMED HASSAN</x:v>
      </x:c>
      <x:c r="P146" s="99" t="str">
        <x:v>EMP1025</x:v>
      </x:c>
      <x:c r="Q146" s="99"/>
      <x:c r="R146" s="99"/>
      <x:c r="S146" s="99"/>
      <x:c r="T146" s="99"/>
      <x:c r="U146" s="99"/>
      <x:c r="V146" s="44"/>
      <x:c r="W146" s="99" t="str">
        <x:v>Requirements Template_ENG.xlsx + current admin module database</x:v>
      </x:c>
      <x:c r="X146" s="144" t="n">
        <x:v>276</x:v>
      </x:c>
    </x:row>
    <x:row r="147" ht="22" customHeight="1">
      <x:c r="A147" s="55" t="str">
        <x:v>REQ-MDME-MME1222-LEC-01</x:v>
      </x:c>
      <x:c r="B147" s="69" t="str">
        <x:v>MDME</x:v>
      </x:c>
      <x:c r="C147" s="106" t="n">
        <x:v>1</x:v>
      </x:c>
      <x:c r="D147" s="10" t="str">
        <x:v>MDME Y1 P1</x:v>
      </x:c>
      <x:c r="E147" s="86" t="str">
        <x:v>MME1222</x:v>
      </x:c>
      <x:c r="F147" s="89" t="str">
        <x:v>MME1222</x:v>
      </x:c>
      <x:c r="G147" s="10" t="str">
        <x:v>Lecture</x:v>
      </x:c>
      <x:c r="H147" s="106" t="n">
        <x:v>1</x:v>
      </x:c>
      <x:c r="I147" s="120" t="n">
        <x:v>2</x:v>
      </x:c>
      <x:c r="J147" s="106" t="n">
        <x:v>1</x:v>
      </x:c>
      <x:c r="K147" s="103" t="str">
        <x:v>Online</x:v>
      </x:c>
      <x:c r="L147" s="103" t="str">
        <x:v>Virtual</x:v>
      </x:c>
      <x:c r="M147" s="103" t="str">
        <x:v>Virtual</x:v>
      </x:c>
      <x:c r="N147" s="106" t="n">
        <x:v>40</x:v>
      </x:c>
      <x:c r="O147" s="89" t="str">
        <x:v>MICHAEL LAU</x:v>
      </x:c>
      <x:c r="P147" s="89" t="str">
        <x:v>EMP2300</x:v>
      </x:c>
      <x:c r="Q147" s="89"/>
      <x:c r="R147" s="89"/>
      <x:c r="S147" s="89"/>
      <x:c r="T147" s="89"/>
      <x:c r="U147" s="89"/>
      <x:c r="V147" s="10"/>
      <x:c r="W147" s="89" t="str">
        <x:v>MDME_Year 1.xlsx</x:v>
      </x:c>
      <x:c r="X147" s="134" t="n">
        <x:v>15</x:v>
      </x:c>
    </x:row>
    <x:row r="148" ht="22" customHeight="1">
      <x:c r="A148" s="66" t="str">
        <x:v>REQ-MDME-MME1222-LCT-02</x:v>
      </x:c>
      <x:c r="B148" s="80" t="str">
        <x:v>MDME</x:v>
      </x:c>
      <x:c r="C148" s="117" t="n">
        <x:v>1</x:v>
      </x:c>
      <x:c r="D148" s="47" t="str">
        <x:v>MDME Y1 P1</x:v>
      </x:c>
      <x:c r="E148" s="88" t="str">
        <x:v>MME1222</x:v>
      </x:c>
      <x:c r="F148" s="100" t="str">
        <x:v>MME1222</x:v>
      </x:c>
      <x:c r="G148" s="47" t="str">
        <x:v>Lectorial</x:v>
      </x:c>
      <x:c r="H148" s="117" t="n">
        <x:v>1</x:v>
      </x:c>
      <x:c r="I148" s="130" t="n">
        <x:v>2</x:v>
      </x:c>
      <x:c r="J148" s="117" t="n">
        <x:v>1</x:v>
      </x:c>
      <x:c r="K148" s="47" t="str">
        <x:v>Face-to-face</x:v>
      </x:c>
      <x:c r="L148" s="47" t="str">
        <x:v>Lectorial</x:v>
      </x:c>
      <x:c r="M148" s="47" t="str">
        <x:v>Physical</x:v>
      </x:c>
      <x:c r="N148" s="117" t="n">
        <x:v>40</x:v>
      </x:c>
      <x:c r="O148" s="100" t="str">
        <x:v>MICHAEL LAU</x:v>
      </x:c>
      <x:c r="P148" s="100" t="str">
        <x:v>EMP2300</x:v>
      </x:c>
      <x:c r="Q148" s="100"/>
      <x:c r="R148" s="100"/>
      <x:c r="S148" s="100"/>
      <x:c r="T148" s="100"/>
      <x:c r="U148" s="100"/>
      <x:c r="V148" s="47"/>
      <x:c r="W148" s="100" t="str">
        <x:v>MDME_Year 1.xlsx</x:v>
      </x:c>
      <x:c r="X148" s="145" t="n">
        <x:v>16</x:v>
      </x:c>
    </x:row>
    <x:row r="149" ht="22" customHeight="1">
      <x:c r="A149" s="56" t="str">
        <x:v>REQ-MDME-MME1222-QZ-03</x:v>
      </x:c>
      <x:c r="B149" s="70" t="str">
        <x:v>MDME</x:v>
      </x:c>
      <x:c r="C149" s="107" t="n">
        <x:v>1</x:v>
      </x:c>
      <x:c r="D149" s="13" t="str">
        <x:v>MDME Y1 P1</x:v>
      </x:c>
      <x:c r="E149" s="87" t="str">
        <x:v>MME1222</x:v>
      </x:c>
      <x:c r="F149" s="90" t="str">
        <x:v>MME1222</x:v>
      </x:c>
      <x:c r="G149" s="44" t="str">
        <x:v>Quiz</x:v>
      </x:c>
      <x:c r="H149" s="116" t="n">
        <x:v>1</x:v>
      </x:c>
      <x:c r="I149" s="126" t="n">
        <x:v>1</x:v>
      </x:c>
      <x:c r="J149" s="107" t="n">
        <x:v>1</x:v>
      </x:c>
      <x:c r="K149" s="13" t="str">
        <x:v>Face-to-face</x:v>
      </x:c>
      <x:c r="L149" s="13" t="str">
        <x:v>Lectorial</x:v>
      </x:c>
      <x:c r="M149" s="13" t="str">
        <x:v>Physical</x:v>
      </x:c>
      <x:c r="N149" s="107" t="n">
        <x:v>40</x:v>
      </x:c>
      <x:c r="O149" s="90" t="str">
        <x:v>GOH KHENG LIM</x:v>
      </x:c>
      <x:c r="P149" s="90" t="str">
        <x:v>EMP1584</x:v>
      </x:c>
      <x:c r="Q149" s="90"/>
      <x:c r="R149" s="90"/>
      <x:c r="S149" s="90"/>
      <x:c r="T149" s="90"/>
      <x:c r="U149" s="90"/>
      <x:c r="V149" s="13"/>
      <x:c r="W149" s="90" t="str">
        <x:v>MDME_Year 1.xlsx</x:v>
      </x:c>
      <x:c r="X149" s="135" t="n">
        <x:v>14</x:v>
      </x:c>
    </x:row>
    <x:row r="150" ht="22" customHeight="1">
      <x:c r="A150" s="57" t="str">
        <x:v>REQ-MDME-MME1262-LEC-01</x:v>
      </x:c>
      <x:c r="B150" s="71" t="str">
        <x:v>MDME</x:v>
      </x:c>
      <x:c r="C150" s="108" t="n">
        <x:v>1</x:v>
      </x:c>
      <x:c r="D150" s="17" t="str">
        <x:v>MDME Y1 P1</x:v>
      </x:c>
      <x:c r="E150" s="86" t="str">
        <x:v>MME1262</x:v>
      </x:c>
      <x:c r="F150" s="91" t="str">
        <x:v>MME1262</x:v>
      </x:c>
      <x:c r="G150" s="17" t="str">
        <x:v>Lecture</x:v>
      </x:c>
      <x:c r="H150" s="108" t="n">
        <x:v>1</x:v>
      </x:c>
      <x:c r="I150" s="122" t="n">
        <x:v>2</x:v>
      </x:c>
      <x:c r="J150" s="108" t="n">
        <x:v>1</x:v>
      </x:c>
      <x:c r="K150" s="17" t="str">
        <x:v>Face-to-face</x:v>
      </x:c>
      <x:c r="L150" s="17" t="str">
        <x:v>Lectorial</x:v>
      </x:c>
      <x:c r="M150" s="17" t="str">
        <x:v>Physical</x:v>
      </x:c>
      <x:c r="N150" s="108" t="n">
        <x:v>40</x:v>
      </x:c>
      <x:c r="O150" s="91" t="str">
        <x:v>HOWARD TANG</x:v>
      </x:c>
      <x:c r="P150" s="91" t="str">
        <x:v>EMP3297</x:v>
      </x:c>
      <x:c r="Q150" s="91"/>
      <x:c r="R150" s="91"/>
      <x:c r="S150" s="91"/>
      <x:c r="T150" s="91"/>
      <x:c r="U150" s="91"/>
      <x:c r="V150" s="17"/>
      <x:c r="W150" s="91" t="str">
        <x:v>MDME_Year 1.xlsx</x:v>
      </x:c>
      <x:c r="X150" s="136" t="n">
        <x:v>18</x:v>
      </x:c>
    </x:row>
    <x:row r="151" ht="22" customHeight="1">
      <x:c r="A151" s="58" t="str">
        <x:v>REQ-MDME-MME1262-TUT-02</x:v>
      </x:c>
      <x:c r="B151" s="72" t="str">
        <x:v>MDME</x:v>
      </x:c>
      <x:c r="C151" s="109" t="n">
        <x:v>1</x:v>
      </x:c>
      <x:c r="D151" s="20" t="str">
        <x:v>MDME Y1 P1</x:v>
      </x:c>
      <x:c r="E151" s="87" t="str">
        <x:v>MME1262</x:v>
      </x:c>
      <x:c r="F151" s="92" t="str">
        <x:v>MME1262</x:v>
      </x:c>
      <x:c r="G151" s="20" t="str">
        <x:v>Tutorial</x:v>
      </x:c>
      <x:c r="H151" s="109" t="n">
        <x:v>1</x:v>
      </x:c>
      <x:c r="I151" s="123" t="n">
        <x:v>2</x:v>
      </x:c>
      <x:c r="J151" s="109" t="n">
        <x:v>1</x:v>
      </x:c>
      <x:c r="K151" s="20" t="str">
        <x:v>Face-to-face</x:v>
      </x:c>
      <x:c r="L151" s="20" t="str">
        <x:v>Seminar Room</x:v>
      </x:c>
      <x:c r="M151" s="20" t="str">
        <x:v>Physical</x:v>
      </x:c>
      <x:c r="N151" s="109" t="n">
        <x:v>40</x:v>
      </x:c>
      <x:c r="O151" s="92" t="str">
        <x:v>HOWARD TANG</x:v>
      </x:c>
      <x:c r="P151" s="92" t="str">
        <x:v>EMP3297</x:v>
      </x:c>
      <x:c r="Q151" s="92"/>
      <x:c r="R151" s="92"/>
      <x:c r="S151" s="92"/>
      <x:c r="T151" s="92"/>
      <x:c r="U151" s="92"/>
      <x:c r="V151" s="20"/>
      <x:c r="W151" s="92" t="str">
        <x:v>MDME_Year 1.xlsx</x:v>
      </x:c>
      <x:c r="X151" s="137" t="n">
        <x:v>19</x:v>
      </x:c>
    </x:row>
    <x:row r="152" ht="22" customHeight="1">
      <x:c r="A152" s="59" t="str">
        <x:v>REQ-MDME-MME1271-LEC-01</x:v>
      </x:c>
      <x:c r="B152" s="73" t="str">
        <x:v>MDME</x:v>
      </x:c>
      <x:c r="C152" s="110" t="n">
        <x:v>1</x:v>
      </x:c>
      <x:c r="D152" s="24" t="str">
        <x:v>MDME Y1 P1</x:v>
      </x:c>
      <x:c r="E152" s="86" t="str">
        <x:v>MME1271</x:v>
      </x:c>
      <x:c r="F152" s="93" t="str">
        <x:v>MME1271</x:v>
      </x:c>
      <x:c r="G152" s="24" t="str">
        <x:v>Lecture</x:v>
      </x:c>
      <x:c r="H152" s="110" t="n">
        <x:v>1</x:v>
      </x:c>
      <x:c r="I152" s="124" t="n">
        <x:v>2</x:v>
      </x:c>
      <x:c r="J152" s="110" t="n">
        <x:v>1</x:v>
      </x:c>
      <x:c r="K152" s="24" t="str">
        <x:v>Face-to-face</x:v>
      </x:c>
      <x:c r="L152" s="24" t="str">
        <x:v>Lectorial</x:v>
      </x:c>
      <x:c r="M152" s="24" t="str">
        <x:v>Physical</x:v>
      </x:c>
      <x:c r="N152" s="110" t="n">
        <x:v>40</x:v>
      </x:c>
      <x:c r="O152" s="93" t="str">
        <x:v>HOWARD TANG</x:v>
      </x:c>
      <x:c r="P152" s="93" t="str">
        <x:v>EMP3297</x:v>
      </x:c>
      <x:c r="Q152" s="93"/>
      <x:c r="R152" s="93"/>
      <x:c r="S152" s="93"/>
      <x:c r="T152" s="93"/>
      <x:c r="U152" s="93"/>
      <x:c r="V152" s="24"/>
      <x:c r="W152" s="93" t="str">
        <x:v>MDME_Year 2.xlsx</x:v>
      </x:c>
      <x:c r="X152" s="138" t="n">
        <x:v>4</x:v>
      </x:c>
    </x:row>
    <x:row r="153" ht="22" customHeight="1">
      <x:c r="A153" s="61" t="str">
        <x:v>REQ-MDME-MME1271-LCT-02</x:v>
      </x:c>
      <x:c r="B153" s="75" t="str">
        <x:v>MDME</x:v>
      </x:c>
      <x:c r="C153" s="112" t="n">
        <x:v>1</x:v>
      </x:c>
      <x:c r="D153" s="30" t="str">
        <x:v>MDME Y1 P1</x:v>
      </x:c>
      <x:c r="E153" s="87" t="str">
        <x:v>MME1271</x:v>
      </x:c>
      <x:c r="F153" s="95" t="str">
        <x:v>MME1271</x:v>
      </x:c>
      <x:c r="G153" s="30" t="str">
        <x:v>Lectorial</x:v>
      </x:c>
      <x:c r="H153" s="112" t="n">
        <x:v>1</x:v>
      </x:c>
      <x:c r="I153" s="131" t="n">
        <x:v>2</x:v>
      </x:c>
      <x:c r="J153" s="112" t="n">
        <x:v>1</x:v>
      </x:c>
      <x:c r="K153" s="30" t="str">
        <x:v>Face-to-face</x:v>
      </x:c>
      <x:c r="L153" s="30" t="str">
        <x:v>Lectorial</x:v>
      </x:c>
      <x:c r="M153" s="30" t="str">
        <x:v>Physical</x:v>
      </x:c>
      <x:c r="N153" s="112" t="n">
        <x:v>40</x:v>
      </x:c>
      <x:c r="O153" s="95" t="str">
        <x:v>HOWARD TANG</x:v>
      </x:c>
      <x:c r="P153" s="95" t="str">
        <x:v>EMP3297</x:v>
      </x:c>
      <x:c r="Q153" s="95"/>
      <x:c r="R153" s="95"/>
      <x:c r="S153" s="95"/>
      <x:c r="T153" s="95"/>
      <x:c r="U153" s="95"/>
      <x:c r="V153" s="30"/>
      <x:c r="W153" s="95" t="str">
        <x:v>MDME_Year 2.xlsx</x:v>
      </x:c>
      <x:c r="X153" s="140" t="n">
        <x:v>7</x:v>
      </x:c>
    </x:row>
    <x:row r="154" ht="22" customHeight="1">
      <x:c r="A154" s="62" t="str">
        <x:v>REQ-MDME-MME3201A-WKS-01</x:v>
      </x:c>
      <x:c r="B154" s="76" t="str">
        <x:v>MDME</x:v>
      </x:c>
      <x:c r="C154" s="113" t="n">
        <x:v>3</x:v>
      </x:c>
      <x:c r="D154" s="34" t="str">
        <x:v>MDME Y3 P1</x:v>
      </x:c>
      <x:c r="E154" s="86" t="str">
        <x:v>MME3201A</x:v>
      </x:c>
      <x:c r="F154" s="96" t="str">
        <x:v>MME3201A</x:v>
      </x:c>
      <x:c r="G154" s="34" t="str">
        <x:v>Workshop</x:v>
      </x:c>
      <x:c r="H154" s="113" t="n">
        <x:v>1</x:v>
      </x:c>
      <x:c r="I154" s="127" t="n">
        <x:v>3</x:v>
      </x:c>
      <x:c r="J154" s="113" t="n">
        <x:v>1</x:v>
      </x:c>
      <x:c r="K154" s="34" t="str">
        <x:v>Face-to-face</x:v>
      </x:c>
      <x:c r="L154" s="34" t="str">
        <x:v>Seminar Room</x:v>
      </x:c>
      <x:c r="M154" s="34" t="str">
        <x:v>Physical</x:v>
      </x:c>
      <x:c r="N154" s="113" t="n">
        <x:v>40</x:v>
      </x:c>
      <x:c r="O154" s="96" t="str">
        <x:v>ZHANG WEILI</x:v>
      </x:c>
      <x:c r="P154" s="96" t="str">
        <x:v>EMP3268</x:v>
      </x:c>
      <x:c r="Q154" s="96"/>
      <x:c r="R154" s="96"/>
      <x:c r="S154" s="96"/>
      <x:c r="T154" s="96"/>
      <x:c r="U154" s="96"/>
      <x:c r="V154" s="34"/>
      <x:c r="W154" s="96" t="str">
        <x:v>MDME_Year 1.xlsx</x:v>
      </x:c>
      <x:c r="X154" s="141" t="n">
        <x:v>22</x:v>
      </x:c>
    </x:row>
    <x:row r="155" ht="22" customHeight="1">
      <x:c r="A155" s="63" t="str">
        <x:v>REQ-MDME-MME3201A-SEM-02</x:v>
      </x:c>
      <x:c r="B155" s="77" t="str">
        <x:v>MDME</x:v>
      </x:c>
      <x:c r="C155" s="114" t="n">
        <x:v>3</x:v>
      </x:c>
      <x:c r="D155" s="37" t="str">
        <x:v>MDME Y3 P1</x:v>
      </x:c>
      <x:c r="E155" s="87" t="str">
        <x:v>MME3201A</x:v>
      </x:c>
      <x:c r="F155" s="97" t="str">
        <x:v>MME3201A</x:v>
      </x:c>
      <x:c r="G155" s="37" t="str">
        <x:v>Seminar</x:v>
      </x:c>
      <x:c r="H155" s="114" t="n">
        <x:v>1</x:v>
      </x:c>
      <x:c r="I155" s="128" t="n">
        <x:v>2</x:v>
      </x:c>
      <x:c r="J155" s="114" t="n">
        <x:v>1</x:v>
      </x:c>
      <x:c r="K155" s="37" t="str">
        <x:v>Face-to-face</x:v>
      </x:c>
      <x:c r="L155" s="37" t="str">
        <x:v>Seminar Room</x:v>
      </x:c>
      <x:c r="M155" s="37" t="str">
        <x:v>Physical</x:v>
      </x:c>
      <x:c r="N155" s="114" t="n">
        <x:v>40</x:v>
      </x:c>
      <x:c r="O155" s="97" t="str">
        <x:v>ZHANG WEILI</x:v>
      </x:c>
      <x:c r="P155" s="97" t="str">
        <x:v>EMP3268</x:v>
      </x:c>
      <x:c r="Q155" s="97"/>
      <x:c r="R155" s="97"/>
      <x:c r="S155" s="97"/>
      <x:c r="T155" s="97"/>
      <x:c r="U155" s="97"/>
      <x:c r="V155" s="37"/>
      <x:c r="W155" s="97" t="str">
        <x:v>Requirements Template_ENG.xlsx + current admin module database</x:v>
      </x:c>
      <x:c r="X155" s="142" t="n">
        <x:v>330</x:v>
      </x:c>
    </x:row>
    <x:row r="156" ht="22" customHeight="1">
      <x:c r="A156" s="64" t="str">
        <x:v>REQ-MDME-MME3291-WKS-01</x:v>
      </x:c>
      <x:c r="B156" s="78" t="str">
        <x:v>MDME</x:v>
      </x:c>
      <x:c r="C156" s="115" t="n">
        <x:v>3</x:v>
      </x:c>
      <x:c r="D156" s="41" t="str">
        <x:v>MDME Y3 P1</x:v>
      </x:c>
      <x:c r="E156" s="86" t="str">
        <x:v>MME3291</x:v>
      </x:c>
      <x:c r="F156" s="98" t="str">
        <x:v>MME3291</x:v>
      </x:c>
      <x:c r="G156" s="41" t="str">
        <x:v>Workshop</x:v>
      </x:c>
      <x:c r="H156" s="115" t="n">
        <x:v>1</x:v>
      </x:c>
      <x:c r="I156" s="129" t="n">
        <x:v>3</x:v>
      </x:c>
      <x:c r="J156" s="115" t="n">
        <x:v>1</x:v>
      </x:c>
      <x:c r="K156" s="41" t="str">
        <x:v>Face-to-face</x:v>
      </x:c>
      <x:c r="L156" s="41" t="str">
        <x:v>Seminar Room</x:v>
      </x:c>
      <x:c r="M156" s="41" t="str">
        <x:v>Physical</x:v>
      </x:c>
      <x:c r="N156" s="115" t="n">
        <x:v>40</x:v>
      </x:c>
      <x:c r="O156" s="98" t="str">
        <x:v>CHONG JUN JIE</x:v>
      </x:c>
      <x:c r="P156" s="98" t="str">
        <x:v>EMP1315</x:v>
      </x:c>
      <x:c r="Q156" s="98"/>
      <x:c r="R156" s="98"/>
      <x:c r="S156" s="98"/>
      <x:c r="T156" s="98"/>
      <x:c r="U156" s="98"/>
      <x:c r="V156" s="41"/>
      <x:c r="W156" s="98" t="str">
        <x:v>MDME_Year 3.xlsx</x:v>
      </x:c>
      <x:c r="X156" s="143" t="n">
        <x:v>11</x:v>
      </x:c>
    </x:row>
    <x:row r="157" ht="22" customHeight="1">
      <x:c r="A157" s="65" t="str">
        <x:v>REQ-MDME-MME3291-SEM-02</x:v>
      </x:c>
      <x:c r="B157" s="79" t="str">
        <x:v>MDME</x:v>
      </x:c>
      <x:c r="C157" s="116" t="n">
        <x:v>3</x:v>
      </x:c>
      <x:c r="D157" s="44" t="str">
        <x:v>MDME Y3 P1</x:v>
      </x:c>
      <x:c r="E157" s="87" t="str">
        <x:v>MME3291</x:v>
      </x:c>
      <x:c r="F157" s="99" t="str">
        <x:v>MME3291</x:v>
      </x:c>
      <x:c r="G157" s="44" t="str">
        <x:v>Seminar</x:v>
      </x:c>
      <x:c r="H157" s="116" t="n">
        <x:v>1</x:v>
      </x:c>
      <x:c r="I157" s="126" t="n">
        <x:v>2</x:v>
      </x:c>
      <x:c r="J157" s="116" t="n">
        <x:v>1</x:v>
      </x:c>
      <x:c r="K157" s="44" t="str">
        <x:v>Face-to-face</x:v>
      </x:c>
      <x:c r="L157" s="44" t="str">
        <x:v>Seminar Room</x:v>
      </x:c>
      <x:c r="M157" s="44" t="str">
        <x:v>Physical</x:v>
      </x:c>
      <x:c r="N157" s="116" t="n">
        <x:v>40</x:v>
      </x:c>
      <x:c r="O157" s="99" t="str">
        <x:v>CHONG JUN JIE</x:v>
      </x:c>
      <x:c r="P157" s="99" t="str">
        <x:v>EMP1315</x:v>
      </x:c>
      <x:c r="Q157" s="99"/>
      <x:c r="R157" s="99"/>
      <x:c r="S157" s="99"/>
      <x:c r="T157" s="99"/>
      <x:c r="U157" s="99"/>
      <x:c r="V157" s="44"/>
      <x:c r="W157" s="99" t="str">
        <x:v>Requirements Template_ENG.xlsx + current admin module database</x:v>
      </x:c>
      <x:c r="X157" s="144" t="n">
        <x:v>337</x:v>
      </x:c>
    </x:row>
    <x:row r="158" ht="22" customHeight="1">
      <x:c r="A158" s="55" t="str">
        <x:v>REQ-MEC-MEC1223-LEC-01</x:v>
      </x:c>
      <x:c r="B158" s="69" t="str">
        <x:v>MEC</x:v>
      </x:c>
      <x:c r="C158" s="106" t="n">
        <x:v>1</x:v>
      </x:c>
      <x:c r="D158" s="10" t="str">
        <x:v>MEC Y1 P1</x:v>
      </x:c>
      <x:c r="E158" s="86" t="str">
        <x:v>MEC1223</x:v>
      </x:c>
      <x:c r="F158" s="89" t="str">
        <x:v>MEC1223</x:v>
      </x:c>
      <x:c r="G158" s="10" t="str">
        <x:v>Lecture</x:v>
      </x:c>
      <x:c r="H158" s="106" t="n">
        <x:v>1</x:v>
      </x:c>
      <x:c r="I158" s="120" t="n">
        <x:v>2</x:v>
      </x:c>
      <x:c r="J158" s="106" t="n">
        <x:v>1</x:v>
      </x:c>
      <x:c r="K158" s="103" t="str">
        <x:v>Asynchronous</x:v>
      </x:c>
      <x:c r="L158" s="103" t="str">
        <x:v>Virtual</x:v>
      </x:c>
      <x:c r="M158" s="103" t="str">
        <x:v>Virtual</x:v>
      </x:c>
      <x:c r="N158" s="106" t="n">
        <x:v>40</x:v>
      </x:c>
      <x:c r="O158" s="89" t="str">
        <x:v>FAN HONG</x:v>
      </x:c>
      <x:c r="P158" s="89" t="str">
        <x:v>EMP1495</x:v>
      </x:c>
      <x:c r="Q158" s="89"/>
      <x:c r="R158" s="89"/>
      <x:c r="S158" s="89"/>
      <x:c r="T158" s="89"/>
      <x:c r="U158" s="89"/>
      <x:c r="V158" s="10"/>
      <x:c r="W158" s="89" t="str">
        <x:v>MEC_Year 1_2510 Requirements.xlsx</x:v>
      </x:c>
      <x:c r="X158" s="134" t="n">
        <x:v>3</x:v>
      </x:c>
    </x:row>
    <x:row r="159" ht="22" customHeight="1">
      <x:c r="A159" s="66" t="str">
        <x:v>REQ-MEC-MEC1223-LCT-02</x:v>
      </x:c>
      <x:c r="B159" s="80" t="str">
        <x:v>MEC</x:v>
      </x:c>
      <x:c r="C159" s="117" t="n">
        <x:v>1</x:v>
      </x:c>
      <x:c r="D159" s="47" t="str">
        <x:v>MEC Y1 P1</x:v>
      </x:c>
      <x:c r="E159" s="88" t="str">
        <x:v>MEC1223</x:v>
      </x:c>
      <x:c r="F159" s="100" t="str">
        <x:v>MEC1223</x:v>
      </x:c>
      <x:c r="G159" s="47" t="str">
        <x:v>Lectorial</x:v>
      </x:c>
      <x:c r="H159" s="117" t="n">
        <x:v>1</x:v>
      </x:c>
      <x:c r="I159" s="130" t="n">
        <x:v>2</x:v>
      </x:c>
      <x:c r="J159" s="117" t="n">
        <x:v>1</x:v>
      </x:c>
      <x:c r="K159" s="47" t="str">
        <x:v>Face-to-face</x:v>
      </x:c>
      <x:c r="L159" s="47" t="str">
        <x:v>Lectorial</x:v>
      </x:c>
      <x:c r="M159" s="47" t="str">
        <x:v>Physical</x:v>
      </x:c>
      <x:c r="N159" s="117" t="n">
        <x:v>40</x:v>
      </x:c>
      <x:c r="O159" s="100" t="str">
        <x:v>FAN HONG</x:v>
      </x:c>
      <x:c r="P159" s="100" t="str">
        <x:v>EMP1495</x:v>
      </x:c>
      <x:c r="Q159" s="100"/>
      <x:c r="R159" s="100"/>
      <x:c r="S159" s="100"/>
      <x:c r="T159" s="100"/>
      <x:c r="U159" s="100"/>
      <x:c r="V159" s="47"/>
      <x:c r="W159" s="100" t="str">
        <x:v>MEC_Year 1_2510 Requirements.xlsx</x:v>
      </x:c>
      <x:c r="X159" s="145" t="n">
        <x:v>5</x:v>
      </x:c>
    </x:row>
    <x:row r="160" ht="22" customHeight="1">
      <x:c r="A160" s="56" t="str">
        <x:v>REQ-MEC-MEC1223-QZ-03</x:v>
      </x:c>
      <x:c r="B160" s="70" t="str">
        <x:v>MEC</x:v>
      </x:c>
      <x:c r="C160" s="107" t="n">
        <x:v>1</x:v>
      </x:c>
      <x:c r="D160" s="13" t="str">
        <x:v>MEC Y1 P1</x:v>
      </x:c>
      <x:c r="E160" s="87" t="str">
        <x:v>MEC1223</x:v>
      </x:c>
      <x:c r="F160" s="90" t="str">
        <x:v>MEC1223</x:v>
      </x:c>
      <x:c r="G160" s="44" t="str">
        <x:v>Quiz</x:v>
      </x:c>
      <x:c r="H160" s="116" t="n">
        <x:v>1</x:v>
      </x:c>
      <x:c r="I160" s="126" t="n">
        <x:v>2</x:v>
      </x:c>
      <x:c r="J160" s="107" t="n">
        <x:v>1</x:v>
      </x:c>
      <x:c r="K160" s="13" t="str">
        <x:v>Face-to-face</x:v>
      </x:c>
      <x:c r="L160" s="13" t="str">
        <x:v>Lectorial</x:v>
      </x:c>
      <x:c r="M160" s="13" t="str">
        <x:v>Physical</x:v>
      </x:c>
      <x:c r="N160" s="107" t="n">
        <x:v>40</x:v>
      </x:c>
      <x:c r="O160" s="90" t="str">
        <x:v>FAN HONG</x:v>
      </x:c>
      <x:c r="P160" s="90" t="str">
        <x:v>EMP1495</x:v>
      </x:c>
      <x:c r="Q160" s="90"/>
      <x:c r="R160" s="90"/>
      <x:c r="S160" s="90"/>
      <x:c r="T160" s="90"/>
      <x:c r="U160" s="90"/>
      <x:c r="V160" s="13"/>
      <x:c r="W160" s="90" t="str">
        <x:v>MEC_Year 1_2510 Requirements.xlsx</x:v>
      </x:c>
      <x:c r="X160" s="135" t="n">
        <x:v>6</x:v>
      </x:c>
    </x:row>
    <x:row r="161" ht="22" customHeight="1">
      <x:c r="A161" s="57" t="str">
        <x:v>REQ-MEC-MEC1241-LEC-01</x:v>
      </x:c>
      <x:c r="B161" s="71" t="str">
        <x:v>MEC</x:v>
      </x:c>
      <x:c r="C161" s="108" t="n">
        <x:v>1</x:v>
      </x:c>
      <x:c r="D161" s="17" t="str">
        <x:v>MEC Y1 P1</x:v>
      </x:c>
      <x:c r="E161" s="86" t="str">
        <x:v>MEC1241</x:v>
      </x:c>
      <x:c r="F161" s="91" t="str">
        <x:v>MEC1241</x:v>
      </x:c>
      <x:c r="G161" s="17" t="str">
        <x:v>Lecture</x:v>
      </x:c>
      <x:c r="H161" s="108" t="n">
        <x:v>1</x:v>
      </x:c>
      <x:c r="I161" s="122" t="n">
        <x:v>2</x:v>
      </x:c>
      <x:c r="J161" s="108" t="n">
        <x:v>1</x:v>
      </x:c>
      <x:c r="K161" s="17" t="str">
        <x:v>Face-to-face</x:v>
      </x:c>
      <x:c r="L161" s="17" t="str">
        <x:v>Lectorial</x:v>
      </x:c>
      <x:c r="M161" s="17" t="str">
        <x:v>Physical</x:v>
      </x:c>
      <x:c r="N161" s="108" t="n">
        <x:v>40</x:v>
      </x:c>
      <x:c r="O161" s="91" t="str">
        <x:v>TANG LAI MENG</x:v>
      </x:c>
      <x:c r="P161" s="91" t="str">
        <x:v>EMP2904</x:v>
      </x:c>
      <x:c r="Q161" s="91"/>
      <x:c r="R161" s="91"/>
      <x:c r="S161" s="91"/>
      <x:c r="T161" s="91"/>
      <x:c r="U161" s="91"/>
      <x:c r="V161" s="17"/>
      <x:c r="W161" s="91" t="str">
        <x:v>MEC_Year 1_2510 Requirements.xlsx</x:v>
      </x:c>
      <x:c r="X161" s="136" t="n">
        <x:v>9</x:v>
      </x:c>
    </x:row>
    <x:row r="162" ht="22" customHeight="1">
      <x:c r="A162" s="58" t="str">
        <x:v>REQ-MEC-MEC1241-LCT-02</x:v>
      </x:c>
      <x:c r="B162" s="72" t="str">
        <x:v>MEC</x:v>
      </x:c>
      <x:c r="C162" s="109" t="n">
        <x:v>1</x:v>
      </x:c>
      <x:c r="D162" s="20" t="str">
        <x:v>MEC Y1 P1</x:v>
      </x:c>
      <x:c r="E162" s="87" t="str">
        <x:v>MEC1241</x:v>
      </x:c>
      <x:c r="F162" s="92" t="str">
        <x:v>MEC1241</x:v>
      </x:c>
      <x:c r="G162" s="20" t="str">
        <x:v>Lectorial</x:v>
      </x:c>
      <x:c r="H162" s="109" t="n">
        <x:v>1</x:v>
      </x:c>
      <x:c r="I162" s="123" t="n">
        <x:v>2</x:v>
      </x:c>
      <x:c r="J162" s="109" t="n">
        <x:v>1</x:v>
      </x:c>
      <x:c r="K162" s="20" t="str">
        <x:v>Face-to-face</x:v>
      </x:c>
      <x:c r="L162" s="20" t="str">
        <x:v>Lectorial</x:v>
      </x:c>
      <x:c r="M162" s="20" t="str">
        <x:v>Physical</x:v>
      </x:c>
      <x:c r="N162" s="109" t="n">
        <x:v>40</x:v>
      </x:c>
      <x:c r="O162" s="92" t="str">
        <x:v>TANG LAI MENG</x:v>
      </x:c>
      <x:c r="P162" s="92" t="str">
        <x:v>EMP2904</x:v>
      </x:c>
      <x:c r="Q162" s="92"/>
      <x:c r="R162" s="92"/>
      <x:c r="S162" s="92"/>
      <x:c r="T162" s="92"/>
      <x:c r="U162" s="92"/>
      <x:c r="V162" s="20"/>
      <x:c r="W162" s="92" t="str">
        <x:v>MEC_Year 1_2510 Requirements.xlsx</x:v>
      </x:c>
      <x:c r="X162" s="137" t="n">
        <x:v>11</x:v>
      </x:c>
    </x:row>
    <x:row r="163" ht="22" customHeight="1">
      <x:c r="A163" s="59" t="str">
        <x:v>REQ-MEC-MEC2261-LEC-01</x:v>
      </x:c>
      <x:c r="B163" s="73" t="str">
        <x:v>MEC</x:v>
      </x:c>
      <x:c r="C163" s="110" t="n">
        <x:v>2</x:v>
      </x:c>
      <x:c r="D163" s="24" t="str">
        <x:v>MEC Y2 P1</x:v>
      </x:c>
      <x:c r="E163" s="86" t="str">
        <x:v>MEC2261</x:v>
      </x:c>
      <x:c r="F163" s="93" t="str">
        <x:v>MEC2261</x:v>
      </x:c>
      <x:c r="G163" s="24" t="str">
        <x:v>Lecture</x:v>
      </x:c>
      <x:c r="H163" s="110" t="n">
        <x:v>1</x:v>
      </x:c>
      <x:c r="I163" s="124" t="n">
        <x:v>2</x:v>
      </x:c>
      <x:c r="J163" s="110" t="n">
        <x:v>1</x:v>
      </x:c>
      <x:c r="K163" s="24" t="str">
        <x:v>Face-to-face</x:v>
      </x:c>
      <x:c r="L163" s="24" t="str">
        <x:v>Lectorial</x:v>
      </x:c>
      <x:c r="M163" s="24" t="str">
        <x:v>Physical</x:v>
      </x:c>
      <x:c r="N163" s="110" t="n">
        <x:v>40</x:v>
      </x:c>
      <x:c r="O163" s="93" t="str">
        <x:v>GOH SUK MENG</x:v>
      </x:c>
      <x:c r="P163" s="93" t="str">
        <x:v>EMP1592</x:v>
      </x:c>
      <x:c r="Q163" s="93"/>
      <x:c r="R163" s="93"/>
      <x:c r="S163" s="93"/>
      <x:c r="T163" s="93"/>
      <x:c r="U163" s="93"/>
      <x:c r="V163" s="24"/>
      <x:c r="W163" s="93" t="str">
        <x:v>MEC_Year 2_2510 Requirements.xlsx</x:v>
      </x:c>
      <x:c r="X163" s="138" t="n">
        <x:v>34</x:v>
      </x:c>
    </x:row>
    <x:row r="164" ht="22" customHeight="1">
      <x:c r="A164" s="61" t="str">
        <x:v>REQ-MEC-MEC2261-WKS-02</x:v>
      </x:c>
      <x:c r="B164" s="75" t="str">
        <x:v>MEC</x:v>
      </x:c>
      <x:c r="C164" s="112" t="n">
        <x:v>2</x:v>
      </x:c>
      <x:c r="D164" s="30" t="str">
        <x:v>MEC Y2 P1</x:v>
      </x:c>
      <x:c r="E164" s="87" t="str">
        <x:v>MEC2261</x:v>
      </x:c>
      <x:c r="F164" s="95" t="str">
        <x:v>MEC2261</x:v>
      </x:c>
      <x:c r="G164" s="30" t="str">
        <x:v>Workshop</x:v>
      </x:c>
      <x:c r="H164" s="112" t="n">
        <x:v>1</x:v>
      </x:c>
      <x:c r="I164" s="131" t="n">
        <x:v>3</x:v>
      </x:c>
      <x:c r="J164" s="112" t="n">
        <x:v>1</x:v>
      </x:c>
      <x:c r="K164" s="30" t="str">
        <x:v>Face-to-face</x:v>
      </x:c>
      <x:c r="L164" s="30" t="str">
        <x:v>Seminar Room</x:v>
      </x:c>
      <x:c r="M164" s="30" t="str">
        <x:v>Physical</x:v>
      </x:c>
      <x:c r="N164" s="112" t="n">
        <x:v>40</x:v>
      </x:c>
      <x:c r="O164" s="95" t="str">
        <x:v>GOH SUK MENG</x:v>
      </x:c>
      <x:c r="P164" s="95" t="str">
        <x:v>EMP1592</x:v>
      </x:c>
      <x:c r="Q164" s="95"/>
      <x:c r="R164" s="95"/>
      <x:c r="S164" s="95"/>
      <x:c r="T164" s="95"/>
      <x:c r="U164" s="95"/>
      <x:c r="V164" s="30"/>
      <x:c r="W164" s="95" t="str">
        <x:v>MEC_Year 2_2510 Requirements.xlsx</x:v>
      </x:c>
      <x:c r="X164" s="140" t="n">
        <x:v>35</x:v>
      </x:c>
    </x:row>
    <x:row r="165" ht="22" customHeight="1">
      <x:c r="A165" s="62" t="str">
        <x:v>REQ-MEC-MEC2282-LEC-01</x:v>
      </x:c>
      <x:c r="B165" s="76" t="str">
        <x:v>MEC</x:v>
      </x:c>
      <x:c r="C165" s="113" t="n">
        <x:v>2</x:v>
      </x:c>
      <x:c r="D165" s="34" t="str">
        <x:v>MEC Y2 P1</x:v>
      </x:c>
      <x:c r="E165" s="86" t="str">
        <x:v>MEC2282</x:v>
      </x:c>
      <x:c r="F165" s="96" t="str">
        <x:v>MEC2282</x:v>
      </x:c>
      <x:c r="G165" s="34" t="str">
        <x:v>Lecture</x:v>
      </x:c>
      <x:c r="H165" s="113" t="n">
        <x:v>1</x:v>
      </x:c>
      <x:c r="I165" s="127" t="n">
        <x:v>2</x:v>
      </x:c>
      <x:c r="J165" s="113" t="n">
        <x:v>1</x:v>
      </x:c>
      <x:c r="K165" s="34" t="str">
        <x:v>Face-to-face</x:v>
      </x:c>
      <x:c r="L165" s="34" t="str">
        <x:v>Lectorial</x:v>
      </x:c>
      <x:c r="M165" s="34" t="str">
        <x:v>Physical</x:v>
      </x:c>
      <x:c r="N165" s="113" t="n">
        <x:v>40</x:v>
      </x:c>
      <x:c r="O165" s="96" t="str">
        <x:v>TAN CHENG HOCK ALFRED</x:v>
      </x:c>
      <x:c r="P165" s="96" t="str">
        <x:v>EMP2815</x:v>
      </x:c>
      <x:c r="Q165" s="96"/>
      <x:c r="R165" s="96"/>
      <x:c r="S165" s="96"/>
      <x:c r="T165" s="96"/>
      <x:c r="U165" s="96"/>
      <x:c r="V165" s="34"/>
      <x:c r="W165" s="96" t="str">
        <x:v>MEC_Year 2_2510 Requirements.xlsx</x:v>
      </x:c>
      <x:c r="X165" s="141" t="n">
        <x:v>3</x:v>
      </x:c>
    </x:row>
    <x:row r="166" ht="22" customHeight="1">
      <x:c r="A166" s="63" t="str">
        <x:v>REQ-MEC-MEC2282-TUT-02</x:v>
      </x:c>
      <x:c r="B166" s="77" t="str">
        <x:v>MEC</x:v>
      </x:c>
      <x:c r="C166" s="114" t="n">
        <x:v>2</x:v>
      </x:c>
      <x:c r="D166" s="37" t="str">
        <x:v>MEC Y2 P1</x:v>
      </x:c>
      <x:c r="E166" s="87" t="str">
        <x:v>MEC2282</x:v>
      </x:c>
      <x:c r="F166" s="97" t="str">
        <x:v>MEC2282</x:v>
      </x:c>
      <x:c r="G166" s="37" t="str">
        <x:v>Tutorial</x:v>
      </x:c>
      <x:c r="H166" s="114" t="n">
        <x:v>1</x:v>
      </x:c>
      <x:c r="I166" s="128" t="n">
        <x:v>1</x:v>
      </x:c>
      <x:c r="J166" s="114" t="n">
        <x:v>1</x:v>
      </x:c>
      <x:c r="K166" s="37" t="str">
        <x:v>Face-to-face</x:v>
      </x:c>
      <x:c r="L166" s="37" t="str">
        <x:v>Seminar Room</x:v>
      </x:c>
      <x:c r="M166" s="37" t="str">
        <x:v>Physical</x:v>
      </x:c>
      <x:c r="N166" s="114" t="n">
        <x:v>40</x:v>
      </x:c>
      <x:c r="O166" s="97" t="str">
        <x:v>TAN CHENG HOCK ALFRED</x:v>
      </x:c>
      <x:c r="P166" s="97" t="str">
        <x:v>EMP2815</x:v>
      </x:c>
      <x:c r="Q166" s="97"/>
      <x:c r="R166" s="97"/>
      <x:c r="S166" s="97"/>
      <x:c r="T166" s="97"/>
      <x:c r="U166" s="97"/>
      <x:c r="V166" s="37"/>
      <x:c r="W166" s="97" t="str">
        <x:v>MEC_Year 2_2510 Requirements.xlsx</x:v>
      </x:c>
      <x:c r="X166" s="142" t="n">
        <x:v>9</x:v>
      </x:c>
    </x:row>
    <x:row r="167" ht="22" customHeight="1">
      <x:c r="A167" s="64" t="str">
        <x:v>REQ-MEC-MEC3271-LEC-01</x:v>
      </x:c>
      <x:c r="B167" s="78" t="str">
        <x:v>MEC</x:v>
      </x:c>
      <x:c r="C167" s="115" t="n">
        <x:v>3</x:v>
      </x:c>
      <x:c r="D167" s="41" t="str">
        <x:v>MEC Y3 P1</x:v>
      </x:c>
      <x:c r="E167" s="86" t="str">
        <x:v>MEC3271</x:v>
      </x:c>
      <x:c r="F167" s="98" t="str">
        <x:v>MEC3271</x:v>
      </x:c>
      <x:c r="G167" s="41" t="str">
        <x:v>Lecture</x:v>
      </x:c>
      <x:c r="H167" s="115" t="n">
        <x:v>1</x:v>
      </x:c>
      <x:c r="I167" s="129" t="n">
        <x:v>2</x:v>
      </x:c>
      <x:c r="J167" s="115" t="n">
        <x:v>1</x:v>
      </x:c>
      <x:c r="K167" s="41" t="str">
        <x:v>Face-to-face</x:v>
      </x:c>
      <x:c r="L167" s="41" t="str">
        <x:v>Lectorial</x:v>
      </x:c>
      <x:c r="M167" s="41" t="str">
        <x:v>Physical</x:v>
      </x:c>
      <x:c r="N167" s="115" t="n">
        <x:v>40</x:v>
      </x:c>
      <x:c r="O167" s="98" t="str">
        <x:v>DAS SAMIRAN</x:v>
      </x:c>
      <x:c r="P167" s="98" t="str">
        <x:v>EMP1409</x:v>
      </x:c>
      <x:c r="Q167" s="98"/>
      <x:c r="R167" s="98"/>
      <x:c r="S167" s="98"/>
      <x:c r="T167" s="98"/>
      <x:c r="U167" s="98"/>
      <x:c r="V167" s="41"/>
      <x:c r="W167" s="98" t="str">
        <x:v>MEC_Year 2_2510 Requirements.xlsx</x:v>
      </x:c>
      <x:c r="X167" s="143" t="n">
        <x:v>14</x:v>
      </x:c>
    </x:row>
    <x:row r="168" ht="22" customHeight="1">
      <x:c r="A168" s="65" t="str">
        <x:v>REQ-MEC-MEC3271-TUT-02</x:v>
      </x:c>
      <x:c r="B168" s="79" t="str">
        <x:v>MEC</x:v>
      </x:c>
      <x:c r="C168" s="116" t="n">
        <x:v>3</x:v>
      </x:c>
      <x:c r="D168" s="44" t="str">
        <x:v>MEC Y3 P1</x:v>
      </x:c>
      <x:c r="E168" s="87" t="str">
        <x:v>MEC3271</x:v>
      </x:c>
      <x:c r="F168" s="99" t="str">
        <x:v>MEC3271</x:v>
      </x:c>
      <x:c r="G168" s="44" t="str">
        <x:v>Tutorial</x:v>
      </x:c>
      <x:c r="H168" s="116" t="n">
        <x:v>1</x:v>
      </x:c>
      <x:c r="I168" s="126" t="n">
        <x:v>2</x:v>
      </x:c>
      <x:c r="J168" s="116" t="n">
        <x:v>1</x:v>
      </x:c>
      <x:c r="K168" s="44" t="str">
        <x:v>Face-to-face</x:v>
      </x:c>
      <x:c r="L168" s="44" t="str">
        <x:v>Seminar Room</x:v>
      </x:c>
      <x:c r="M168" s="44" t="str">
        <x:v>Physical</x:v>
      </x:c>
      <x:c r="N168" s="116" t="n">
        <x:v>40</x:v>
      </x:c>
      <x:c r="O168" s="99" t="str">
        <x:v>DAS SAMIRAN</x:v>
      </x:c>
      <x:c r="P168" s="99" t="str">
        <x:v>EMP1409</x:v>
      </x:c>
      <x:c r="Q168" s="99"/>
      <x:c r="R168" s="99"/>
      <x:c r="S168" s="99"/>
      <x:c r="T168" s="99"/>
      <x:c r="U168" s="99"/>
      <x:c r="V168" s="44"/>
      <x:c r="W168" s="99" t="str">
        <x:v>MEC_Year 2_2510 Requirements.xlsx</x:v>
      </x:c>
      <x:c r="X168" s="144" t="n">
        <x:v>16</x:v>
      </x:c>
    </x:row>
    <x:row r="169" ht="22" customHeight="1">
      <x:c r="A169" s="55" t="str">
        <x:v>REQ-NAME-NME1106-LEC-01</x:v>
      </x:c>
      <x:c r="B169" s="69" t="str">
        <x:v>NAME</x:v>
      </x:c>
      <x:c r="C169" s="106" t="n">
        <x:v>1</x:v>
      </x:c>
      <x:c r="D169" s="10" t="str">
        <x:v>NAME Y1 P1</x:v>
      </x:c>
      <x:c r="E169" s="86" t="str">
        <x:v>NME1106</x:v>
      </x:c>
      <x:c r="F169" s="89" t="str">
        <x:v>NME1106</x:v>
      </x:c>
      <x:c r="G169" s="10" t="str">
        <x:v>Lecture</x:v>
      </x:c>
      <x:c r="H169" s="106" t="n">
        <x:v>1</x:v>
      </x:c>
      <x:c r="I169" s="120" t="n">
        <x:v>2</x:v>
      </x:c>
      <x:c r="J169" s="106" t="n">
        <x:v>1</x:v>
      </x:c>
      <x:c r="K169" s="103" t="str">
        <x:v>Online</x:v>
      </x:c>
      <x:c r="L169" s="103" t="str">
        <x:v>Virtual</x:v>
      </x:c>
      <x:c r="M169" s="103" t="str">
        <x:v>Virtual</x:v>
      </x:c>
      <x:c r="N169" s="106" t="n">
        <x:v>40</x:v>
      </x:c>
      <x:c r="O169" s="89" t="str">
        <x:v>NG CHUN WEE</x:v>
      </x:c>
      <x:c r="P169" s="89" t="str">
        <x:v>EMP2370</x:v>
      </x:c>
      <x:c r="Q169" s="89"/>
      <x:c r="R169" s="89"/>
      <x:c r="S169" s="89"/>
      <x:c r="T169" s="89"/>
      <x:c r="U169" s="89"/>
      <x:c r="V169" s="10"/>
      <x:c r="W169" s="89" t="str">
        <x:v>NAME_Year 1.xlsx</x:v>
      </x:c>
      <x:c r="X169" s="134" t="n">
        <x:v>4</x:v>
      </x:c>
    </x:row>
    <x:row r="170" ht="22" customHeight="1">
      <x:c r="A170" s="66" t="str">
        <x:v>REQ-NAME-NME1106-TUT-02</x:v>
      </x:c>
      <x:c r="B170" s="80" t="str">
        <x:v>NAME</x:v>
      </x:c>
      <x:c r="C170" s="117" t="n">
        <x:v>1</x:v>
      </x:c>
      <x:c r="D170" s="47" t="str">
        <x:v>NAME Y1 P1</x:v>
      </x:c>
      <x:c r="E170" s="88" t="str">
        <x:v>NME1106</x:v>
      </x:c>
      <x:c r="F170" s="100" t="str">
        <x:v>NME1106</x:v>
      </x:c>
      <x:c r="G170" s="47" t="str">
        <x:v>Tutorial</x:v>
      </x:c>
      <x:c r="H170" s="117" t="n">
        <x:v>1</x:v>
      </x:c>
      <x:c r="I170" s="130" t="n">
        <x:v>2</x:v>
      </x:c>
      <x:c r="J170" s="117" t="n">
        <x:v>1</x:v>
      </x:c>
      <x:c r="K170" s="47" t="str">
        <x:v>Face-to-face</x:v>
      </x:c>
      <x:c r="L170" s="47" t="str">
        <x:v>Seminar Room</x:v>
      </x:c>
      <x:c r="M170" s="47" t="str">
        <x:v>Physical</x:v>
      </x:c>
      <x:c r="N170" s="117" t="n">
        <x:v>40</x:v>
      </x:c>
      <x:c r="O170" s="100" t="str">
        <x:v>NG CHUN WEE</x:v>
      </x:c>
      <x:c r="P170" s="100" t="str">
        <x:v>EMP2370</x:v>
      </x:c>
      <x:c r="Q170" s="100"/>
      <x:c r="R170" s="100"/>
      <x:c r="S170" s="100"/>
      <x:c r="T170" s="100"/>
      <x:c r="U170" s="100"/>
      <x:c r="V170" s="47"/>
      <x:c r="W170" s="100" t="str">
        <x:v>NAME_Year 1.xlsx</x:v>
      </x:c>
      <x:c r="X170" s="145" t="n">
        <x:v>5</x:v>
      </x:c>
    </x:row>
    <x:row r="171" ht="22" customHeight="1">
      <x:c r="A171" s="56" t="str">
        <x:v>REQ-NAME-NME1106-QZ-03</x:v>
      </x:c>
      <x:c r="B171" s="70" t="str">
        <x:v>NAME</x:v>
      </x:c>
      <x:c r="C171" s="107" t="n">
        <x:v>1</x:v>
      </x:c>
      <x:c r="D171" s="13" t="str">
        <x:v>NAME Y1 P1</x:v>
      </x:c>
      <x:c r="E171" s="87" t="str">
        <x:v>NME1106</x:v>
      </x:c>
      <x:c r="F171" s="90" t="str">
        <x:v>NME1106</x:v>
      </x:c>
      <x:c r="G171" s="44" t="str">
        <x:v>Quiz</x:v>
      </x:c>
      <x:c r="H171" s="116" t="n">
        <x:v>1</x:v>
      </x:c>
      <x:c r="I171" s="126" t="n">
        <x:v>1</x:v>
      </x:c>
      <x:c r="J171" s="107" t="n">
        <x:v>1</x:v>
      </x:c>
      <x:c r="K171" s="13" t="str">
        <x:v>Face-to-face</x:v>
      </x:c>
      <x:c r="L171" s="13" t="str">
        <x:v>Lectorial</x:v>
      </x:c>
      <x:c r="M171" s="13" t="str">
        <x:v>Physical</x:v>
      </x:c>
      <x:c r="N171" s="107" t="n">
        <x:v>40</x:v>
      </x:c>
      <x:c r="O171" s="90" t="str">
        <x:v>NG CHUN WEE</x:v>
      </x:c>
      <x:c r="P171" s="90" t="str">
        <x:v>EMP2370</x:v>
      </x:c>
      <x:c r="Q171" s="90"/>
      <x:c r="R171" s="90"/>
      <x:c r="S171" s="90"/>
      <x:c r="T171" s="90"/>
      <x:c r="U171" s="90"/>
      <x:c r="V171" s="13"/>
      <x:c r="W171" s="90" t="str">
        <x:v>NAME_Year 1.xlsx</x:v>
      </x:c>
      <x:c r="X171" s="135" t="n">
        <x:v>8</x:v>
      </x:c>
    </x:row>
    <x:row r="172" ht="22" customHeight="1">
      <x:c r="A172" s="57" t="str">
        <x:v>REQ-NAME-NME1108-LEC-01</x:v>
      </x:c>
      <x:c r="B172" s="71" t="str">
        <x:v>NAME</x:v>
      </x:c>
      <x:c r="C172" s="108" t="n">
        <x:v>1</x:v>
      </x:c>
      <x:c r="D172" s="17" t="str">
        <x:v>NAME Y1 P1</x:v>
      </x:c>
      <x:c r="E172" s="86" t="str">
        <x:v>NME1108</x:v>
      </x:c>
      <x:c r="F172" s="91" t="str">
        <x:v>NME1108</x:v>
      </x:c>
      <x:c r="G172" s="17" t="str">
        <x:v>Lecture</x:v>
      </x:c>
      <x:c r="H172" s="108" t="n">
        <x:v>1</x:v>
      </x:c>
      <x:c r="I172" s="122" t="n">
        <x:v>2</x:v>
      </x:c>
      <x:c r="J172" s="108" t="n">
        <x:v>1</x:v>
      </x:c>
      <x:c r="K172" s="17" t="str">
        <x:v>Face-to-face</x:v>
      </x:c>
      <x:c r="L172" s="17" t="str">
        <x:v>Lectorial</x:v>
      </x:c>
      <x:c r="M172" s="17" t="str">
        <x:v>Physical</x:v>
      </x:c>
      <x:c r="N172" s="108" t="n">
        <x:v>40</x:v>
      </x:c>
      <x:c r="O172" s="91" t="str">
        <x:v>IVAN TAM CHI KEUNG</x:v>
      </x:c>
      <x:c r="P172" s="91" t="str">
        <x:v>EMP1715</x:v>
      </x:c>
      <x:c r="Q172" s="91"/>
      <x:c r="R172" s="91"/>
      <x:c r="S172" s="91"/>
      <x:c r="T172" s="91"/>
      <x:c r="U172" s="91"/>
      <x:c r="V172" s="17"/>
      <x:c r="W172" s="91" t="str">
        <x:v>NAME_Year 1.xlsx</x:v>
      </x:c>
      <x:c r="X172" s="136" t="n">
        <x:v>10</x:v>
      </x:c>
    </x:row>
    <x:row r="173" ht="22" customHeight="1">
      <x:c r="A173" s="58" t="str">
        <x:v>REQ-NAME-NME1108-TUT-02</x:v>
      </x:c>
      <x:c r="B173" s="72" t="str">
        <x:v>NAME</x:v>
      </x:c>
      <x:c r="C173" s="109" t="n">
        <x:v>1</x:v>
      </x:c>
      <x:c r="D173" s="20" t="str">
        <x:v>NAME Y1 P1</x:v>
      </x:c>
      <x:c r="E173" s="87" t="str">
        <x:v>NME1108</x:v>
      </x:c>
      <x:c r="F173" s="92" t="str">
        <x:v>NME1108</x:v>
      </x:c>
      <x:c r="G173" s="20" t="str">
        <x:v>Tutorial</x:v>
      </x:c>
      <x:c r="H173" s="109" t="n">
        <x:v>1</x:v>
      </x:c>
      <x:c r="I173" s="123" t="n">
        <x:v>2</x:v>
      </x:c>
      <x:c r="J173" s="109" t="n">
        <x:v>1</x:v>
      </x:c>
      <x:c r="K173" s="20" t="str">
        <x:v>Face-to-face</x:v>
      </x:c>
      <x:c r="L173" s="20" t="str">
        <x:v>Seminar Room</x:v>
      </x:c>
      <x:c r="M173" s="20" t="str">
        <x:v>Physical</x:v>
      </x:c>
      <x:c r="N173" s="109" t="n">
        <x:v>40</x:v>
      </x:c>
      <x:c r="O173" s="92" t="str">
        <x:v>IVAN TAM CHI KEUNG</x:v>
      </x:c>
      <x:c r="P173" s="92" t="str">
        <x:v>EMP1715</x:v>
      </x:c>
      <x:c r="Q173" s="92"/>
      <x:c r="R173" s="92"/>
      <x:c r="S173" s="92"/>
      <x:c r="T173" s="92"/>
      <x:c r="U173" s="92"/>
      <x:c r="V173" s="20"/>
      <x:c r="W173" s="92" t="str">
        <x:v>NAME_Year 1.xlsx</x:v>
      </x:c>
      <x:c r="X173" s="137" t="n">
        <x:v>11</x:v>
      </x:c>
    </x:row>
    <x:row r="174" ht="22" customHeight="1">
      <x:c r="A174" s="59" t="str">
        <x:v>REQ-NAME-NME1109-LEC-01</x:v>
      </x:c>
      <x:c r="B174" s="73" t="str">
        <x:v>NAME</x:v>
      </x:c>
      <x:c r="C174" s="110" t="n">
        <x:v>1</x:v>
      </x:c>
      <x:c r="D174" s="24" t="str">
        <x:v>NAME Y1 P1</x:v>
      </x:c>
      <x:c r="E174" s="86" t="str">
        <x:v>NME1109</x:v>
      </x:c>
      <x:c r="F174" s="93" t="str">
        <x:v>NME1109</x:v>
      </x:c>
      <x:c r="G174" s="24" t="str">
        <x:v>Lecture</x:v>
      </x:c>
      <x:c r="H174" s="110" t="n">
        <x:v>1</x:v>
      </x:c>
      <x:c r="I174" s="124" t="n">
        <x:v>2</x:v>
      </x:c>
      <x:c r="J174" s="110" t="n">
        <x:v>1</x:v>
      </x:c>
      <x:c r="K174" s="24" t="str">
        <x:v>Face-to-face</x:v>
      </x:c>
      <x:c r="L174" s="24" t="str">
        <x:v>Lectorial</x:v>
      </x:c>
      <x:c r="M174" s="24" t="str">
        <x:v>Physical</x:v>
      </x:c>
      <x:c r="N174" s="110" t="n">
        <x:v>40</x:v>
      </x:c>
      <x:c r="O174" s="93" t="str">
        <x:v>CHEN HAO</x:v>
      </x:c>
      <x:c r="P174" s="93" t="str">
        <x:v>EMP1234</x:v>
      </x:c>
      <x:c r="Q174" s="93"/>
      <x:c r="R174" s="93"/>
      <x:c r="S174" s="93"/>
      <x:c r="T174" s="93"/>
      <x:c r="U174" s="93"/>
      <x:c r="V174" s="24"/>
      <x:c r="W174" s="93" t="str">
        <x:v>NAME_Year 1.xlsx</x:v>
      </x:c>
      <x:c r="X174" s="138" t="n">
        <x:v>13</x:v>
      </x:c>
    </x:row>
    <x:row r="175" ht="22" customHeight="1">
      <x:c r="A175" s="61" t="str">
        <x:v>REQ-NAME-NME1109-TUT-02</x:v>
      </x:c>
      <x:c r="B175" s="75" t="str">
        <x:v>NAME</x:v>
      </x:c>
      <x:c r="C175" s="112" t="n">
        <x:v>1</x:v>
      </x:c>
      <x:c r="D175" s="30" t="str">
        <x:v>NAME Y1 P1</x:v>
      </x:c>
      <x:c r="E175" s="87" t="str">
        <x:v>NME1109</x:v>
      </x:c>
      <x:c r="F175" s="95" t="str">
        <x:v>NME1109</x:v>
      </x:c>
      <x:c r="G175" s="30" t="str">
        <x:v>Tutorial</x:v>
      </x:c>
      <x:c r="H175" s="112" t="n">
        <x:v>1</x:v>
      </x:c>
      <x:c r="I175" s="131" t="n">
        <x:v>2</x:v>
      </x:c>
      <x:c r="J175" s="112" t="n">
        <x:v>1</x:v>
      </x:c>
      <x:c r="K175" s="30" t="str">
        <x:v>Face-to-face</x:v>
      </x:c>
      <x:c r="L175" s="30" t="str">
        <x:v>Seminar Room</x:v>
      </x:c>
      <x:c r="M175" s="30" t="str">
        <x:v>Physical</x:v>
      </x:c>
      <x:c r="N175" s="112" t="n">
        <x:v>40</x:v>
      </x:c>
      <x:c r="O175" s="95" t="str">
        <x:v>CHEN HAO</x:v>
      </x:c>
      <x:c r="P175" s="95" t="str">
        <x:v>EMP1234</x:v>
      </x:c>
      <x:c r="Q175" s="95"/>
      <x:c r="R175" s="95"/>
      <x:c r="S175" s="95"/>
      <x:c r="T175" s="95"/>
      <x:c r="U175" s="95"/>
      <x:c r="V175" s="30"/>
      <x:c r="W175" s="95" t="str">
        <x:v>NAME_Year 1.xlsx</x:v>
      </x:c>
      <x:c r="X175" s="140" t="n">
        <x:v>16</x:v>
      </x:c>
    </x:row>
    <x:row r="176" ht="22" customHeight="1">
      <x:c r="A176" s="62" t="str">
        <x:v>REQ-NAME-NME2104-LCT-01</x:v>
      </x:c>
      <x:c r="B176" s="76" t="str">
        <x:v>NAME</x:v>
      </x:c>
      <x:c r="C176" s="113" t="n">
        <x:v>2</x:v>
      </x:c>
      <x:c r="D176" s="34" t="str">
        <x:v>NAME Y2 P1</x:v>
      </x:c>
      <x:c r="E176" s="86" t="str">
        <x:v>NME2104</x:v>
      </x:c>
      <x:c r="F176" s="96" t="str">
        <x:v>NME2104</x:v>
      </x:c>
      <x:c r="G176" s="34" t="str">
        <x:v>Lectorial</x:v>
      </x:c>
      <x:c r="H176" s="113" t="n">
        <x:v>1</x:v>
      </x:c>
      <x:c r="I176" s="127" t="n">
        <x:v>2</x:v>
      </x:c>
      <x:c r="J176" s="113" t="n">
        <x:v>1</x:v>
      </x:c>
      <x:c r="K176" s="34" t="str">
        <x:v>Face-to-face</x:v>
      </x:c>
      <x:c r="L176" s="34" t="str">
        <x:v>Lectorial</x:v>
      </x:c>
      <x:c r="M176" s="34" t="str">
        <x:v>Physical</x:v>
      </x:c>
      <x:c r="N176" s="113" t="n">
        <x:v>40</x:v>
      </x:c>
      <x:c r="O176" s="96" t="str">
        <x:v>CHEN HAO</x:v>
      </x:c>
      <x:c r="P176" s="96" t="str">
        <x:v>EMP1234</x:v>
      </x:c>
      <x:c r="Q176" s="96"/>
      <x:c r="R176" s="96"/>
      <x:c r="S176" s="96"/>
      <x:c r="T176" s="96"/>
      <x:c r="U176" s="96"/>
      <x:c r="V176" s="34"/>
      <x:c r="W176" s="96" t="str">
        <x:v>NAME_Year 2.xlsx</x:v>
      </x:c>
      <x:c r="X176" s="141" t="n">
        <x:v>4</x:v>
      </x:c>
    </x:row>
    <x:row r="177" ht="22" customHeight="1">
      <x:c r="A177" s="63" t="str">
        <x:v>REQ-NAME-NME2104-TUT-02</x:v>
      </x:c>
      <x:c r="B177" s="77" t="str">
        <x:v>NAME</x:v>
      </x:c>
      <x:c r="C177" s="114" t="n">
        <x:v>2</x:v>
      </x:c>
      <x:c r="D177" s="37" t="str">
        <x:v>NAME Y2 P1</x:v>
      </x:c>
      <x:c r="E177" s="87" t="str">
        <x:v>NME2104</x:v>
      </x:c>
      <x:c r="F177" s="97" t="str">
        <x:v>NME2104</x:v>
      </x:c>
      <x:c r="G177" s="37" t="str">
        <x:v>Tutorial</x:v>
      </x:c>
      <x:c r="H177" s="114" t="n">
        <x:v>1</x:v>
      </x:c>
      <x:c r="I177" s="128" t="n">
        <x:v>2</x:v>
      </x:c>
      <x:c r="J177" s="114" t="n">
        <x:v>1</x:v>
      </x:c>
      <x:c r="K177" s="37" t="str">
        <x:v>Face-to-face</x:v>
      </x:c>
      <x:c r="L177" s="37" t="str">
        <x:v>Seminar Room</x:v>
      </x:c>
      <x:c r="M177" s="37" t="str">
        <x:v>Physical</x:v>
      </x:c>
      <x:c r="N177" s="114" t="n">
        <x:v>40</x:v>
      </x:c>
      <x:c r="O177" s="97" t="str">
        <x:v>CHEN HAO</x:v>
      </x:c>
      <x:c r="P177" s="97" t="str">
        <x:v>EMP1234</x:v>
      </x:c>
      <x:c r="Q177" s="97"/>
      <x:c r="R177" s="97"/>
      <x:c r="S177" s="97"/>
      <x:c r="T177" s="97"/>
      <x:c r="U177" s="97"/>
      <x:c r="V177" s="37"/>
      <x:c r="W177" s="97" t="str">
        <x:v>Requirements Template_ENG.xlsx + current admin module database</x:v>
      </x:c>
      <x:c r="X177" s="142" t="n">
        <x:v>341</x:v>
      </x:c>
    </x:row>
    <x:row r="178" ht="22" customHeight="1">
      <x:c r="A178" s="64" t="str">
        <x:v>REQ-NAME-NME2106-LEC-01</x:v>
      </x:c>
      <x:c r="B178" s="78" t="str">
        <x:v>NAME</x:v>
      </x:c>
      <x:c r="C178" s="115" t="n">
        <x:v>2</x:v>
      </x:c>
      <x:c r="D178" s="41" t="str">
        <x:v>NAME Y2 P1</x:v>
      </x:c>
      <x:c r="E178" s="86" t="str">
        <x:v>NME2106</x:v>
      </x:c>
      <x:c r="F178" s="98" t="str">
        <x:v>NME2106</x:v>
      </x:c>
      <x:c r="G178" s="41" t="str">
        <x:v>Lecture</x:v>
      </x:c>
      <x:c r="H178" s="115" t="n">
        <x:v>1</x:v>
      </x:c>
      <x:c r="I178" s="129" t="n">
        <x:v>2</x:v>
      </x:c>
      <x:c r="J178" s="115" t="n">
        <x:v>1</x:v>
      </x:c>
      <x:c r="K178" s="41" t="str">
        <x:v>Face-to-face</x:v>
      </x:c>
      <x:c r="L178" s="41" t="str">
        <x:v>Lectorial</x:v>
      </x:c>
      <x:c r="M178" s="41" t="str">
        <x:v>Physical</x:v>
      </x:c>
      <x:c r="N178" s="115" t="n">
        <x:v>40</x:v>
      </x:c>
      <x:c r="O178" s="98" t="str">
        <x:v>NG CHUN WEE</x:v>
      </x:c>
      <x:c r="P178" s="98" t="str">
        <x:v>EMP2370</x:v>
      </x:c>
      <x:c r="Q178" s="98"/>
      <x:c r="R178" s="98"/>
      <x:c r="S178" s="98"/>
      <x:c r="T178" s="98"/>
      <x:c r="U178" s="98"/>
      <x:c r="V178" s="41"/>
      <x:c r="W178" s="98" t="str">
        <x:v>NAME_Year 2.xlsx</x:v>
      </x:c>
      <x:c r="X178" s="143" t="n">
        <x:v>8</x:v>
      </x:c>
    </x:row>
    <x:row r="179" ht="22" customHeight="1">
      <x:c r="A179" s="65" t="str">
        <x:v>REQ-NAME-NME2106-TUT-02</x:v>
      </x:c>
      <x:c r="B179" s="79" t="str">
        <x:v>NAME</x:v>
      </x:c>
      <x:c r="C179" s="116" t="n">
        <x:v>2</x:v>
      </x:c>
      <x:c r="D179" s="44" t="str">
        <x:v>NAME Y2 P1</x:v>
      </x:c>
      <x:c r="E179" s="87" t="str">
        <x:v>NME2106</x:v>
      </x:c>
      <x:c r="F179" s="99" t="str">
        <x:v>NME2106</x:v>
      </x:c>
      <x:c r="G179" s="44" t="str">
        <x:v>Tutorial</x:v>
      </x:c>
      <x:c r="H179" s="116" t="n">
        <x:v>1</x:v>
      </x:c>
      <x:c r="I179" s="126" t="n">
        <x:v>2</x:v>
      </x:c>
      <x:c r="J179" s="116" t="n">
        <x:v>1</x:v>
      </x:c>
      <x:c r="K179" s="44" t="str">
        <x:v>Face-to-face</x:v>
      </x:c>
      <x:c r="L179" s="44" t="str">
        <x:v>Seminar Room</x:v>
      </x:c>
      <x:c r="M179" s="44" t="str">
        <x:v>Physical</x:v>
      </x:c>
      <x:c r="N179" s="116" t="n">
        <x:v>40</x:v>
      </x:c>
      <x:c r="O179" s="99" t="str">
        <x:v>TEO CHING LEONG</x:v>
      </x:c>
      <x:c r="P179" s="99" t="str">
        <x:v>EMP2946</x:v>
      </x:c>
      <x:c r="Q179" s="99"/>
      <x:c r="R179" s="99"/>
      <x:c r="S179" s="99"/>
      <x:c r="T179" s="99"/>
      <x:c r="U179" s="99"/>
      <x:c r="V179" s="44"/>
      <x:c r="W179" s="99" t="str">
        <x:v>NAME_Year 2.xlsx</x:v>
      </x:c>
      <x:c r="X179" s="144" t="n">
        <x:v>7</x:v>
      </x:c>
    </x:row>
    <x:row r="180" ht="22" customHeight="1">
      <x:c r="A180" s="55" t="str">
        <x:v>REQ-RSE-RSE1102-WKS-01</x:v>
      </x:c>
      <x:c r="B180" s="69" t="str">
        <x:v>RSE</x:v>
      </x:c>
      <x:c r="C180" s="106" t="n">
        <x:v>1</x:v>
      </x:c>
      <x:c r="D180" s="10" t="str">
        <x:v>RSE Y1 P1</x:v>
      </x:c>
      <x:c r="E180" s="86" t="str">
        <x:v>RSE1102</x:v>
      </x:c>
      <x:c r="F180" s="89" t="str">
        <x:v>RSE1102</x:v>
      </x:c>
      <x:c r="G180" s="10" t="str">
        <x:v>Workshop</x:v>
      </x:c>
      <x:c r="H180" s="106" t="n">
        <x:v>1</x:v>
      </x:c>
      <x:c r="I180" s="120" t="n">
        <x:v>2</x:v>
      </x:c>
      <x:c r="J180" s="106" t="n">
        <x:v>1</x:v>
      </x:c>
      <x:c r="K180" s="10" t="str">
        <x:v>Face-to-face</x:v>
      </x:c>
      <x:c r="L180" s="10" t="str">
        <x:v>Seminar Room</x:v>
      </x:c>
      <x:c r="M180" s="10" t="str">
        <x:v>Physical</x:v>
      </x:c>
      <x:c r="N180" s="106" t="n">
        <x:v>40</x:v>
      </x:c>
      <x:c r="O180" s="89" t="str">
        <x:v>TAN SEE TECK</x:v>
      </x:c>
      <x:c r="P180" s="89" t="str">
        <x:v>EMP2863</x:v>
      </x:c>
      <x:c r="Q180" s="89"/>
      <x:c r="R180" s="89"/>
      <x:c r="S180" s="89"/>
      <x:c r="T180" s="89"/>
      <x:c r="U180" s="89"/>
      <x:c r="V180" s="10"/>
      <x:c r="W180" s="89" t="str">
        <x:v>RSE_Year1.xlsx</x:v>
      </x:c>
      <x:c r="X180" s="134" t="n">
        <x:v>6</x:v>
      </x:c>
    </x:row>
    <x:row r="181" ht="22" customHeight="1">
      <x:c r="A181" s="56" t="str">
        <x:v>REQ-RSE-RSE1102-SEM-02</x:v>
      </x:c>
      <x:c r="B181" s="70" t="str">
        <x:v>RSE</x:v>
      </x:c>
      <x:c r="C181" s="107" t="n">
        <x:v>1</x:v>
      </x:c>
      <x:c r="D181" s="13" t="str">
        <x:v>RSE Y1 P1</x:v>
      </x:c>
      <x:c r="E181" s="87" t="str">
        <x:v>RSE1102</x:v>
      </x:c>
      <x:c r="F181" s="90" t="str">
        <x:v>RSE1102</x:v>
      </x:c>
      <x:c r="G181" s="13" t="str">
        <x:v>Seminar</x:v>
      </x:c>
      <x:c r="H181" s="107" t="n">
        <x:v>1</x:v>
      </x:c>
      <x:c r="I181" s="121" t="n">
        <x:v>2</x:v>
      </x:c>
      <x:c r="J181" s="107" t="n">
        <x:v>1</x:v>
      </x:c>
      <x:c r="K181" s="13" t="str">
        <x:v>Face-to-face</x:v>
      </x:c>
      <x:c r="L181" s="13" t="str">
        <x:v>Seminar Room</x:v>
      </x:c>
      <x:c r="M181" s="13" t="str">
        <x:v>Physical</x:v>
      </x:c>
      <x:c r="N181" s="107" t="n">
        <x:v>40</x:v>
      </x:c>
      <x:c r="O181" s="90" t="str">
        <x:v>TAN SEE TECK</x:v>
      </x:c>
      <x:c r="P181" s="90" t="str">
        <x:v>EMP2863</x:v>
      </x:c>
      <x:c r="Q181" s="90"/>
      <x:c r="R181" s="90"/>
      <x:c r="S181" s="90"/>
      <x:c r="T181" s="90"/>
      <x:c r="U181" s="90"/>
      <x:c r="V181" s="13"/>
      <x:c r="W181" s="90" t="str">
        <x:v>Requirements Template_ENG.xlsx + current admin module database</x:v>
      </x:c>
      <x:c r="X181" s="135" t="n">
        <x:v>408</x:v>
      </x:c>
    </x:row>
    <x:row r="182" ht="22" customHeight="1">
      <x:c r="A182" s="57" t="str">
        <x:v>REQ-RSE-RSE1202-LCT-01</x:v>
      </x:c>
      <x:c r="B182" s="71" t="str">
        <x:v>RSE</x:v>
      </x:c>
      <x:c r="C182" s="108" t="n">
        <x:v>1</x:v>
      </x:c>
      <x:c r="D182" s="17" t="str">
        <x:v>RSE Y1 P1</x:v>
      </x:c>
      <x:c r="E182" s="86" t="str">
        <x:v>RSE1202</x:v>
      </x:c>
      <x:c r="F182" s="91" t="str">
        <x:v>RSE1202</x:v>
      </x:c>
      <x:c r="G182" s="17" t="str">
        <x:v>Lectorial</x:v>
      </x:c>
      <x:c r="H182" s="108" t="n">
        <x:v>1</x:v>
      </x:c>
      <x:c r="I182" s="122" t="n">
        <x:v>2</x:v>
      </x:c>
      <x:c r="J182" s="108" t="n">
        <x:v>1</x:v>
      </x:c>
      <x:c r="K182" s="17" t="str">
        <x:v>Face-to-face</x:v>
      </x:c>
      <x:c r="L182" s="17" t="str">
        <x:v>Lectorial</x:v>
      </x:c>
      <x:c r="M182" s="17" t="str">
        <x:v>Physical</x:v>
      </x:c>
      <x:c r="N182" s="108" t="n">
        <x:v>40</x:v>
      </x:c>
      <x:c r="O182" s="91" t="str">
        <x:v>LIEW PAK SAN</x:v>
      </x:c>
      <x:c r="P182" s="91" t="str">
        <x:v>EMP2072</x:v>
      </x:c>
      <x:c r="Q182" s="91"/>
      <x:c r="R182" s="91"/>
      <x:c r="S182" s="91"/>
      <x:c r="T182" s="91"/>
      <x:c r="U182" s="91"/>
      <x:c r="V182" s="17"/>
      <x:c r="W182" s="91" t="str">
        <x:v>RSE_Year1.xlsx</x:v>
      </x:c>
      <x:c r="X182" s="136" t="n">
        <x:v>4</x:v>
      </x:c>
    </x:row>
    <x:row r="183" ht="22" customHeight="1">
      <x:c r="A183" s="67" t="str">
        <x:v>REQ-RSE-RSE1202-TUT-02</x:v>
      </x:c>
      <x:c r="B183" s="81" t="str">
        <x:v>RSE</x:v>
      </x:c>
      <x:c r="C183" s="118" t="n">
        <x:v>1</x:v>
      </x:c>
      <x:c r="D183" s="50" t="str">
        <x:v>RSE Y1 P1</x:v>
      </x:c>
      <x:c r="E183" s="88" t="str">
        <x:v>RSE1202</x:v>
      </x:c>
      <x:c r="F183" s="101" t="str">
        <x:v>RSE1202</x:v>
      </x:c>
      <x:c r="G183" s="50" t="str">
        <x:v>Tutorial</x:v>
      </x:c>
      <x:c r="H183" s="118" t="n">
        <x:v>1</x:v>
      </x:c>
      <x:c r="I183" s="132" t="n">
        <x:v>2</x:v>
      </x:c>
      <x:c r="J183" s="118" t="n">
        <x:v>1</x:v>
      </x:c>
      <x:c r="K183" s="50" t="str">
        <x:v>Face-to-face</x:v>
      </x:c>
      <x:c r="L183" s="50" t="str">
        <x:v>Seminar Room</x:v>
      </x:c>
      <x:c r="M183" s="50" t="str">
        <x:v>Physical</x:v>
      </x:c>
      <x:c r="N183" s="118" t="n">
        <x:v>40</x:v>
      </x:c>
      <x:c r="O183" s="101" t="str">
        <x:v>LIEW PAK SAN</x:v>
      </x:c>
      <x:c r="P183" s="101" t="str">
        <x:v>EMP2072</x:v>
      </x:c>
      <x:c r="Q183" s="101"/>
      <x:c r="R183" s="101"/>
      <x:c r="S183" s="101"/>
      <x:c r="T183" s="101"/>
      <x:c r="U183" s="101"/>
      <x:c r="V183" s="50"/>
      <x:c r="W183" s="101" t="str">
        <x:v>Requirements Template_ENG.xlsx + current admin module database</x:v>
      </x:c>
      <x:c r="X183" s="146" t="n">
        <x:v>409</x:v>
      </x:c>
    </x:row>
    <x:row r="184" ht="22" customHeight="1">
      <x:c r="A184" s="58" t="str">
        <x:v>REQ-RSE-RSE1202-QZ-03</x:v>
      </x:c>
      <x:c r="B184" s="72" t="str">
        <x:v>RSE</x:v>
      </x:c>
      <x:c r="C184" s="109" t="n">
        <x:v>1</x:v>
      </x:c>
      <x:c r="D184" s="20" t="str">
        <x:v>RSE Y1 P1</x:v>
      </x:c>
      <x:c r="E184" s="87" t="str">
        <x:v>RSE1202</x:v>
      </x:c>
      <x:c r="F184" s="92" t="str">
        <x:v>RSE1202</x:v>
      </x:c>
      <x:c r="G184" s="44" t="str">
        <x:v>Quiz</x:v>
      </x:c>
      <x:c r="H184" s="116" t="n">
        <x:v>1</x:v>
      </x:c>
      <x:c r="I184" s="126" t="n">
        <x:v>1</x:v>
      </x:c>
      <x:c r="J184" s="109" t="n">
        <x:v>1</x:v>
      </x:c>
      <x:c r="K184" s="20" t="str">
        <x:v>Face-to-face</x:v>
      </x:c>
      <x:c r="L184" s="20" t="str">
        <x:v>Lectorial</x:v>
      </x:c>
      <x:c r="M184" s="20" t="str">
        <x:v>Physical</x:v>
      </x:c>
      <x:c r="N184" s="109" t="n">
        <x:v>40</x:v>
      </x:c>
      <x:c r="O184" s="92" t="str">
        <x:v>LIEW PAK SAN</x:v>
      </x:c>
      <x:c r="P184" s="92" t="str">
        <x:v>EMP2072</x:v>
      </x:c>
      <x:c r="Q184" s="92"/>
      <x:c r="R184" s="92"/>
      <x:c r="S184" s="92"/>
      <x:c r="T184" s="92"/>
      <x:c r="U184" s="92"/>
      <x:c r="V184" s="20"/>
      <x:c r="W184" s="92" t="str">
        <x:v>RSE_Year1.xlsx</x:v>
      </x:c>
      <x:c r="X184" s="137" t="n">
        <x:v>5</x:v>
      </x:c>
    </x:row>
    <x:row r="185" ht="22" customHeight="1">
      <x:c r="A185" s="59" t="str">
        <x:v>REQ-RSE-RSE1801-LEC-01</x:v>
      </x:c>
      <x:c r="B185" s="73" t="str">
        <x:v>RSE</x:v>
      </x:c>
      <x:c r="C185" s="110" t="n">
        <x:v>1</x:v>
      </x:c>
      <x:c r="D185" s="24" t="str">
        <x:v>RSE Y1 P1</x:v>
      </x:c>
      <x:c r="E185" s="86" t="str">
        <x:v>RSE1801</x:v>
      </x:c>
      <x:c r="F185" s="93" t="str">
        <x:v>RSE1801</x:v>
      </x:c>
      <x:c r="G185" s="24" t="str">
        <x:v>Lecture</x:v>
      </x:c>
      <x:c r="H185" s="110" t="n">
        <x:v>1</x:v>
      </x:c>
      <x:c r="I185" s="124" t="n">
        <x:v>2</x:v>
      </x:c>
      <x:c r="J185" s="110" t="n">
        <x:v>1</x:v>
      </x:c>
      <x:c r="K185" s="24" t="str">
        <x:v>Face-to-face</x:v>
      </x:c>
      <x:c r="L185" s="24" t="str">
        <x:v>Lectorial</x:v>
      </x:c>
      <x:c r="M185" s="24" t="str">
        <x:v>Physical</x:v>
      </x:c>
      <x:c r="N185" s="110" t="n">
        <x:v>40</x:v>
      </x:c>
      <x:c r="O185" s="93" t="str">
        <x:v>QUAH CHEE KWANG</x:v>
      </x:c>
      <x:c r="P185" s="93" t="str">
        <x:v>EMP2566</x:v>
      </x:c>
      <x:c r="Q185" s="93" t="str">
        <x:v>JONATHAN LIM YU KUANG</x:v>
      </x:c>
      <x:c r="R185" s="93" t="str">
        <x:v>EMP1797</x:v>
      </x:c>
      <x:c r="S185" s="93"/>
      <x:c r="T185" s="93"/>
      <x:c r="U185" s="93"/>
      <x:c r="V185" s="24"/>
      <x:c r="W185" s="93" t="str">
        <x:v>RSE_Year2.xlsx</x:v>
      </x:c>
      <x:c r="X185" s="138" t="n">
        <x:v>11</x:v>
      </x:c>
    </x:row>
    <x:row r="186" ht="22" customHeight="1">
      <x:c r="A186" s="61" t="str">
        <x:v>REQ-RSE-RSE1801-LCT-02</x:v>
      </x:c>
      <x:c r="B186" s="75" t="str">
        <x:v>RSE</x:v>
      </x:c>
      <x:c r="C186" s="112" t="n">
        <x:v>1</x:v>
      </x:c>
      <x:c r="D186" s="30" t="str">
        <x:v>RSE Y1 P1</x:v>
      </x:c>
      <x:c r="E186" s="87" t="str">
        <x:v>RSE1801</x:v>
      </x:c>
      <x:c r="F186" s="95" t="str">
        <x:v>RSE1801</x:v>
      </x:c>
      <x:c r="G186" s="30" t="str">
        <x:v>Lectorial</x:v>
      </x:c>
      <x:c r="H186" s="112" t="n">
        <x:v>1</x:v>
      </x:c>
      <x:c r="I186" s="131" t="n">
        <x:v>2</x:v>
      </x:c>
      <x:c r="J186" s="112" t="n">
        <x:v>1</x:v>
      </x:c>
      <x:c r="K186" s="30" t="str">
        <x:v>Face-to-face</x:v>
      </x:c>
      <x:c r="L186" s="30" t="str">
        <x:v>Lectorial</x:v>
      </x:c>
      <x:c r="M186" s="30" t="str">
        <x:v>Physical</x:v>
      </x:c>
      <x:c r="N186" s="112" t="n">
        <x:v>40</x:v>
      </x:c>
      <x:c r="O186" s="95" t="str">
        <x:v>QUAH CHEE KWANG</x:v>
      </x:c>
      <x:c r="P186" s="95" t="str">
        <x:v>EMP2566</x:v>
      </x:c>
      <x:c r="Q186" s="95" t="str">
        <x:v>JONATHAN LIM YU KUANG</x:v>
      </x:c>
      <x:c r="R186" s="95" t="str">
        <x:v>EMP1797</x:v>
      </x:c>
      <x:c r="S186" s="95"/>
      <x:c r="T186" s="95"/>
      <x:c r="U186" s="95"/>
      <x:c r="V186" s="30"/>
      <x:c r="W186" s="95" t="str">
        <x:v>RSE_Year2.xlsx</x:v>
      </x:c>
      <x:c r="X186" s="140" t="n">
        <x:v>12</x:v>
      </x:c>
    </x:row>
    <x:row r="187" ht="22" customHeight="1">
      <x:c r="A187" s="62" t="str">
        <x:v>REQ-RSE-RSE3601A-WKS-01</x:v>
      </x:c>
      <x:c r="B187" s="76" t="str">
        <x:v>RSE</x:v>
      </x:c>
      <x:c r="C187" s="113" t="n">
        <x:v>3</x:v>
      </x:c>
      <x:c r="D187" s="34" t="str">
        <x:v>RSE Y3 P1</x:v>
      </x:c>
      <x:c r="E187" s="86" t="str">
        <x:v>RSE3601A</x:v>
      </x:c>
      <x:c r="F187" s="96" t="str">
        <x:v>RSE3601A</x:v>
      </x:c>
      <x:c r="G187" s="34" t="str">
        <x:v>Workshop</x:v>
      </x:c>
      <x:c r="H187" s="113" t="n">
        <x:v>1</x:v>
      </x:c>
      <x:c r="I187" s="127" t="n">
        <x:v>3</x:v>
      </x:c>
      <x:c r="J187" s="113" t="n">
        <x:v>1</x:v>
      </x:c>
      <x:c r="K187" s="34" t="str">
        <x:v>Face-to-face</x:v>
      </x:c>
      <x:c r="L187" s="34" t="str">
        <x:v>Seminar Room</x:v>
      </x:c>
      <x:c r="M187" s="34" t="str">
        <x:v>Physical</x:v>
      </x:c>
      <x:c r="N187" s="113" t="n">
        <x:v>40</x:v>
      </x:c>
      <x:c r="O187" s="96" t="str">
        <x:v>JONATHAN LIM YU KUANG</x:v>
      </x:c>
      <x:c r="P187" s="96" t="str">
        <x:v>EMP1797</x:v>
      </x:c>
      <x:c r="Q187" s="96"/>
      <x:c r="R187" s="96"/>
      <x:c r="S187" s="96"/>
      <x:c r="T187" s="96"/>
      <x:c r="U187" s="96"/>
      <x:c r="V187" s="34"/>
      <x:c r="W187" s="96" t="str">
        <x:v>RSE_Year1.xlsx</x:v>
      </x:c>
      <x:c r="X187" s="141" t="n">
        <x:v>11</x:v>
      </x:c>
    </x:row>
    <x:row r="188" ht="22" customHeight="1">
      <x:c r="A188" s="63" t="str">
        <x:v>REQ-RSE-RSE3601A-SEM-02</x:v>
      </x:c>
      <x:c r="B188" s="77" t="str">
        <x:v>RSE</x:v>
      </x:c>
      <x:c r="C188" s="114" t="n">
        <x:v>3</x:v>
      </x:c>
      <x:c r="D188" s="37" t="str">
        <x:v>RSE Y3 P1</x:v>
      </x:c>
      <x:c r="E188" s="87" t="str">
        <x:v>RSE3601A</x:v>
      </x:c>
      <x:c r="F188" s="97" t="str">
        <x:v>RSE3601A</x:v>
      </x:c>
      <x:c r="G188" s="37" t="str">
        <x:v>Seminar</x:v>
      </x:c>
      <x:c r="H188" s="114" t="n">
        <x:v>1</x:v>
      </x:c>
      <x:c r="I188" s="128" t="n">
        <x:v>2</x:v>
      </x:c>
      <x:c r="J188" s="114" t="n">
        <x:v>1</x:v>
      </x:c>
      <x:c r="K188" s="37" t="str">
        <x:v>Face-to-face</x:v>
      </x:c>
      <x:c r="L188" s="37" t="str">
        <x:v>Seminar Room</x:v>
      </x:c>
      <x:c r="M188" s="37" t="str">
        <x:v>Physical</x:v>
      </x:c>
      <x:c r="N188" s="114" t="n">
        <x:v>40</x:v>
      </x:c>
      <x:c r="O188" s="97" t="str">
        <x:v>JONATHAN LIM YU KUANG</x:v>
      </x:c>
      <x:c r="P188" s="97" t="str">
        <x:v>EMP1797</x:v>
      </x:c>
      <x:c r="Q188" s="97"/>
      <x:c r="R188" s="97"/>
      <x:c r="S188" s="97"/>
      <x:c r="T188" s="97"/>
      <x:c r="U188" s="97"/>
      <x:c r="V188" s="37"/>
      <x:c r="W188" s="97" t="str">
        <x:v>Requirements Template_ENG.xlsx + current admin module database</x:v>
      </x:c>
      <x:c r="X188" s="142" t="n">
        <x:v>413</x:v>
      </x:c>
    </x:row>
    <x:row r="189" ht="22" customHeight="1">
      <x:c r="A189" s="64" t="str">
        <x:v>REQ-RSE-RSE3601B-LCT-01</x:v>
      </x:c>
      <x:c r="B189" s="78" t="str">
        <x:v>RSE</x:v>
      </x:c>
      <x:c r="C189" s="115" t="n">
        <x:v>3</x:v>
      </x:c>
      <x:c r="D189" s="41" t="str">
        <x:v>RSE Y3 P1</x:v>
      </x:c>
      <x:c r="E189" s="86" t="str">
        <x:v>RSE3601B</x:v>
      </x:c>
      <x:c r="F189" s="98" t="str">
        <x:v>RSE3601B</x:v>
      </x:c>
      <x:c r="G189" s="41" t="str">
        <x:v>Lectorial</x:v>
      </x:c>
      <x:c r="H189" s="115" t="n">
        <x:v>1</x:v>
      </x:c>
      <x:c r="I189" s="129" t="n">
        <x:v>2</x:v>
      </x:c>
      <x:c r="J189" s="115" t="n">
        <x:v>1</x:v>
      </x:c>
      <x:c r="K189" s="41" t="str">
        <x:v>Face-to-face</x:v>
      </x:c>
      <x:c r="L189" s="41" t="str">
        <x:v>Lectorial</x:v>
      </x:c>
      <x:c r="M189" s="41" t="str">
        <x:v>Physical</x:v>
      </x:c>
      <x:c r="N189" s="115" t="n">
        <x:v>40</x:v>
      </x:c>
      <x:c r="O189" s="98" t="str">
        <x:v>LIEW PAK SAN</x:v>
      </x:c>
      <x:c r="P189" s="98" t="str">
        <x:v>EMP2072</x:v>
      </x:c>
      <x:c r="Q189" s="98"/>
      <x:c r="R189" s="98"/>
      <x:c r="S189" s="98"/>
      <x:c r="T189" s="98"/>
      <x:c r="U189" s="98"/>
      <x:c r="V189" s="41"/>
      <x:c r="W189" s="98" t="str">
        <x:v>RSE_Year2.xlsx</x:v>
      </x:c>
      <x:c r="X189" s="143" t="n">
        <x:v>7</x:v>
      </x:c>
    </x:row>
    <x:row r="190" ht="22" customHeight="1">
      <x:c r="A190" s="65" t="str">
        <x:v>REQ-RSE-RSE3601B-TUT-02</x:v>
      </x:c>
      <x:c r="B190" s="79" t="str">
        <x:v>RSE</x:v>
      </x:c>
      <x:c r="C190" s="116" t="n">
        <x:v>3</x:v>
      </x:c>
      <x:c r="D190" s="44" t="str">
        <x:v>RSE Y3 P1</x:v>
      </x:c>
      <x:c r="E190" s="87" t="str">
        <x:v>RSE3601B</x:v>
      </x:c>
      <x:c r="F190" s="99" t="str">
        <x:v>RSE3601B</x:v>
      </x:c>
      <x:c r="G190" s="44" t="str">
        <x:v>Tutorial</x:v>
      </x:c>
      <x:c r="H190" s="116" t="n">
        <x:v>1</x:v>
      </x:c>
      <x:c r="I190" s="126" t="n">
        <x:v>2</x:v>
      </x:c>
      <x:c r="J190" s="116" t="n">
        <x:v>1</x:v>
      </x:c>
      <x:c r="K190" s="44" t="str">
        <x:v>Face-to-face</x:v>
      </x:c>
      <x:c r="L190" s="44" t="str">
        <x:v>Seminar Room</x:v>
      </x:c>
      <x:c r="M190" s="44" t="str">
        <x:v>Physical</x:v>
      </x:c>
      <x:c r="N190" s="116" t="n">
        <x:v>40</x:v>
      </x:c>
      <x:c r="O190" s="99" t="str">
        <x:v>WEE LIANG BOON</x:v>
      </x:c>
      <x:c r="P190" s="99" t="str">
        <x:v>EMP3098</x:v>
      </x:c>
      <x:c r="Q190" s="99"/>
      <x:c r="R190" s="99"/>
      <x:c r="S190" s="99"/>
      <x:c r="T190" s="99"/>
      <x:c r="U190" s="99"/>
      <x:c r="V190" s="44"/>
      <x:c r="W190" s="99" t="str">
        <x:v>Requirements Template_ENG.xlsx + current admin module database</x:v>
      </x:c>
      <x:c r="X190" s="144" t="n">
        <x:v>414</x:v>
      </x:c>
    </x:row>
    <x:row r="191" ht="22" customHeight="1">
      <x:c r="A191" s="55" t="str">
        <x:v>REQ-SBE-SBE1101-LEC-01</x:v>
      </x:c>
      <x:c r="B191" s="69" t="str">
        <x:v>SBE</x:v>
      </x:c>
      <x:c r="C191" s="106" t="n">
        <x:v>1</x:v>
      </x:c>
      <x:c r="D191" s="10" t="str">
        <x:v>SBE Y1 P1</x:v>
      </x:c>
      <x:c r="E191" s="86" t="str">
        <x:v>SBE1101</x:v>
      </x:c>
      <x:c r="F191" s="89" t="str">
        <x:v>SBE1101</x:v>
      </x:c>
      <x:c r="G191" s="10" t="str">
        <x:v>Lecture</x:v>
      </x:c>
      <x:c r="H191" s="106" t="n">
        <x:v>1</x:v>
      </x:c>
      <x:c r="I191" s="120" t="n">
        <x:v>2</x:v>
      </x:c>
      <x:c r="J191" s="106" t="n">
        <x:v>1</x:v>
      </x:c>
      <x:c r="K191" s="103" t="str">
        <x:v>Online</x:v>
      </x:c>
      <x:c r="L191" s="103" t="str">
        <x:v>Virtual</x:v>
      </x:c>
      <x:c r="M191" s="103" t="str">
        <x:v>Virtual</x:v>
      </x:c>
      <x:c r="N191" s="106" t="n">
        <x:v>40</x:v>
      </x:c>
      <x:c r="O191" s="89" t="str">
        <x:v>CHOO JIAN HUEI</x:v>
      </x:c>
      <x:c r="P191" s="89" t="str">
        <x:v>EMP1323</x:v>
      </x:c>
      <x:c r="Q191" s="89"/>
      <x:c r="R191" s="89"/>
      <x:c r="S191" s="89"/>
      <x:c r="T191" s="89"/>
      <x:c r="U191" s="89"/>
      <x:c r="V191" s="10"/>
      <x:c r="W191" s="89" t="str">
        <x:v>SBE Year 1.xlsx</x:v>
      </x:c>
      <x:c r="X191" s="134" t="n">
        <x:v>10</x:v>
      </x:c>
    </x:row>
    <x:row r="192" ht="22" customHeight="1">
      <x:c r="A192" s="66" t="str">
        <x:v>REQ-SBE-SBE1101-LEC-02B</x:v>
      </x:c>
      <x:c r="B192" s="80" t="str">
        <x:v>SBE</x:v>
      </x:c>
      <x:c r="C192" s="117" t="n">
        <x:v>1</x:v>
      </x:c>
      <x:c r="D192" s="47" t="str">
        <x:v>SBE Y1 P1</x:v>
      </x:c>
      <x:c r="E192" s="88" t="str">
        <x:v>SBE1101</x:v>
      </x:c>
      <x:c r="F192" s="100" t="str">
        <x:v>SBE1101</x:v>
      </x:c>
      <x:c r="G192" s="47" t="str">
        <x:v>Lecture</x:v>
      </x:c>
      <x:c r="H192" s="117" t="n">
        <x:v>1</x:v>
      </x:c>
      <x:c r="I192" s="130" t="n">
        <x:v>2</x:v>
      </x:c>
      <x:c r="J192" s="117" t="n">
        <x:v>1</x:v>
      </x:c>
      <x:c r="K192" s="105" t="str">
        <x:v>Online</x:v>
      </x:c>
      <x:c r="L192" s="105" t="str">
        <x:v>Virtual</x:v>
      </x:c>
      <x:c r="M192" s="105" t="str">
        <x:v>Virtual</x:v>
      </x:c>
      <x:c r="N192" s="117" t="n">
        <x:v>40</x:v>
      </x:c>
      <x:c r="O192" s="100" t="str">
        <x:v>CHOO JIAN HUEI</x:v>
      </x:c>
      <x:c r="P192" s="100" t="str">
        <x:v>EMP1323</x:v>
      </x:c>
      <x:c r="Q192" s="100"/>
      <x:c r="R192" s="100"/>
      <x:c r="S192" s="100"/>
      <x:c r="T192" s="100"/>
      <x:c r="U192" s="100"/>
      <x:c r="V192" s="47"/>
      <x:c r="W192" s="100" t="str">
        <x:v>SBE Year 1.xlsx</x:v>
      </x:c>
      <x:c r="X192" s="145" t="n">
        <x:v>10</x:v>
      </x:c>
    </x:row>
    <x:row r="193" ht="22" customHeight="1">
      <x:c r="A193" s="66" t="str">
        <x:v>REQ-SBE-SBE1101-TUT-03</x:v>
      </x:c>
      <x:c r="B193" s="80" t="str">
        <x:v>SBE</x:v>
      </x:c>
      <x:c r="C193" s="117" t="n">
        <x:v>1</x:v>
      </x:c>
      <x:c r="D193" s="47" t="str">
        <x:v>SBE Y1 P1</x:v>
      </x:c>
      <x:c r="E193" s="88" t="str">
        <x:v>SBE1101</x:v>
      </x:c>
      <x:c r="F193" s="100" t="str">
        <x:v>SBE1101</x:v>
      </x:c>
      <x:c r="G193" s="47" t="str">
        <x:v>Tutorial</x:v>
      </x:c>
      <x:c r="H193" s="117" t="n">
        <x:v>1</x:v>
      </x:c>
      <x:c r="I193" s="130" t="n">
        <x:v>2</x:v>
      </x:c>
      <x:c r="J193" s="117" t="n">
        <x:v>1</x:v>
      </x:c>
      <x:c r="K193" s="47" t="str">
        <x:v>Face-to-face</x:v>
      </x:c>
      <x:c r="L193" s="47" t="str">
        <x:v>Seminar Room</x:v>
      </x:c>
      <x:c r="M193" s="47" t="str">
        <x:v>Physical</x:v>
      </x:c>
      <x:c r="N193" s="117" t="n">
        <x:v>40</x:v>
      </x:c>
      <x:c r="O193" s="100" t="str">
        <x:v>CHOO JIAN HUEI</x:v>
      </x:c>
      <x:c r="P193" s="100" t="str">
        <x:v>EMP1323</x:v>
      </x:c>
      <x:c r="Q193" s="100"/>
      <x:c r="R193" s="100"/>
      <x:c r="S193" s="100"/>
      <x:c r="T193" s="100"/>
      <x:c r="U193" s="100"/>
      <x:c r="V193" s="47"/>
      <x:c r="W193" s="100" t="str">
        <x:v>SBE Year 1.xlsx</x:v>
      </x:c>
      <x:c r="X193" s="145" t="n">
        <x:v>11</x:v>
      </x:c>
    </x:row>
    <x:row r="194" ht="22" customHeight="1">
      <x:c r="A194" s="66" t="str">
        <x:v>REQ-SBE-SBE1101-TUT-04B</x:v>
      </x:c>
      <x:c r="B194" s="80" t="str">
        <x:v>SBE</x:v>
      </x:c>
      <x:c r="C194" s="117" t="n">
        <x:v>1</x:v>
      </x:c>
      <x:c r="D194" s="47" t="str">
        <x:v>SBE Y1 P1</x:v>
      </x:c>
      <x:c r="E194" s="88" t="str">
        <x:v>SBE1101</x:v>
      </x:c>
      <x:c r="F194" s="100" t="str">
        <x:v>SBE1101</x:v>
      </x:c>
      <x:c r="G194" s="47" t="str">
        <x:v>Tutorial</x:v>
      </x:c>
      <x:c r="H194" s="117" t="n">
        <x:v>1</x:v>
      </x:c>
      <x:c r="I194" s="130" t="n">
        <x:v>2</x:v>
      </x:c>
      <x:c r="J194" s="117" t="n">
        <x:v>1</x:v>
      </x:c>
      <x:c r="K194" s="47" t="str">
        <x:v>Face-to-face</x:v>
      </x:c>
      <x:c r="L194" s="47" t="str">
        <x:v>Seminar Room</x:v>
      </x:c>
      <x:c r="M194" s="47" t="str">
        <x:v>Physical</x:v>
      </x:c>
      <x:c r="N194" s="117" t="n">
        <x:v>40</x:v>
      </x:c>
      <x:c r="O194" s="100" t="str">
        <x:v>CHOO JIAN HUEI</x:v>
      </x:c>
      <x:c r="P194" s="100" t="str">
        <x:v>EMP1323</x:v>
      </x:c>
      <x:c r="Q194" s="100"/>
      <x:c r="R194" s="100"/>
      <x:c r="S194" s="100"/>
      <x:c r="T194" s="100"/>
      <x:c r="U194" s="100"/>
      <x:c r="V194" s="47"/>
      <x:c r="W194" s="100" t="str">
        <x:v>SBE Year 1.xlsx</x:v>
      </x:c>
      <x:c r="X194" s="145" t="n">
        <x:v>11</x:v>
      </x:c>
    </x:row>
    <x:row r="195" ht="22" customHeight="1">
      <x:c r="A195" s="56" t="str">
        <x:v>REQ-SBE-SBE1101-QZ-05</x:v>
      </x:c>
      <x:c r="B195" s="70" t="str">
        <x:v>SBE</x:v>
      </x:c>
      <x:c r="C195" s="107" t="n">
        <x:v>1</x:v>
      </x:c>
      <x:c r="D195" s="13" t="str">
        <x:v>SBE Y1 P1</x:v>
      </x:c>
      <x:c r="E195" s="87" t="str">
        <x:v>SBE1101</x:v>
      </x:c>
      <x:c r="F195" s="90" t="str">
        <x:v>SBE1101</x:v>
      </x:c>
      <x:c r="G195" s="44" t="str">
        <x:v>Quiz</x:v>
      </x:c>
      <x:c r="H195" s="116" t="n">
        <x:v>1</x:v>
      </x:c>
      <x:c r="I195" s="126" t="n">
        <x:v>1</x:v>
      </x:c>
      <x:c r="J195" s="107" t="n">
        <x:v>1</x:v>
      </x:c>
      <x:c r="K195" s="13" t="str">
        <x:v>Face-to-face</x:v>
      </x:c>
      <x:c r="L195" s="13" t="str">
        <x:v>Lectorial</x:v>
      </x:c>
      <x:c r="M195" s="13" t="str">
        <x:v>Physical</x:v>
      </x:c>
      <x:c r="N195" s="107" t="n">
        <x:v>40</x:v>
      </x:c>
      <x:c r="O195" s="90" t="str">
        <x:v>CHOO JIAN HUEI</x:v>
      </x:c>
      <x:c r="P195" s="90" t="str">
        <x:v>EMP1323</x:v>
      </x:c>
      <x:c r="Q195" s="90"/>
      <x:c r="R195" s="90"/>
      <x:c r="S195" s="90"/>
      <x:c r="T195" s="90"/>
      <x:c r="U195" s="90"/>
      <x:c r="V195" s="13"/>
      <x:c r="W195" s="90" t="str">
        <x:v>SBE Year 1.xlsx</x:v>
      </x:c>
      <x:c r="X195" s="135" t="n">
        <x:v>12</x:v>
      </x:c>
    </x:row>
    <x:row r="196" ht="22" customHeight="1">
      <x:c r="A196" s="57" t="str">
        <x:v>REQ-SBE-SBE3113A-WKS-01</x:v>
      </x:c>
      <x:c r="B196" s="71" t="str">
        <x:v>SBE</x:v>
      </x:c>
      <x:c r="C196" s="108" t="n">
        <x:v>3</x:v>
      </x:c>
      <x:c r="D196" s="17" t="str">
        <x:v>SBE Y3 P1</x:v>
      </x:c>
      <x:c r="E196" s="86" t="str">
        <x:v>SBE3113A</x:v>
      </x:c>
      <x:c r="F196" s="91" t="str">
        <x:v>SBE3113A</x:v>
      </x:c>
      <x:c r="G196" s="17" t="str">
        <x:v>Workshop</x:v>
      </x:c>
      <x:c r="H196" s="108" t="n">
        <x:v>1</x:v>
      </x:c>
      <x:c r="I196" s="122" t="n">
        <x:v>3</x:v>
      </x:c>
      <x:c r="J196" s="108" t="n">
        <x:v>1</x:v>
      </x:c>
      <x:c r="K196" s="17" t="str">
        <x:v>Face-to-face</x:v>
      </x:c>
      <x:c r="L196" s="17" t="str">
        <x:v>Seminar Room</x:v>
      </x:c>
      <x:c r="M196" s="17" t="str">
        <x:v>Physical</x:v>
      </x:c>
      <x:c r="N196" s="108" t="n">
        <x:v>40</x:v>
      </x:c>
      <x:c r="O196" s="91" t="str">
        <x:v>AN HUI</x:v>
      </x:c>
      <x:c r="P196" s="91" t="str">
        <x:v>EMP1062</x:v>
      </x:c>
      <x:c r="Q196" s="91"/>
      <x:c r="R196" s="91"/>
      <x:c r="S196" s="91"/>
      <x:c r="T196" s="91"/>
      <x:c r="U196" s="91"/>
      <x:c r="V196" s="17"/>
      <x:c r="W196" s="91" t="str">
        <x:v>SBE Year 1.xlsx</x:v>
      </x:c>
      <x:c r="X196" s="136" t="n">
        <x:v>14</x:v>
      </x:c>
    </x:row>
    <x:row r="197" ht="22" customHeight="1">
      <x:c r="A197" s="58" t="str">
        <x:v>REQ-SBE-SBE3113A-SEM-02</x:v>
      </x:c>
      <x:c r="B197" s="72" t="str">
        <x:v>SBE</x:v>
      </x:c>
      <x:c r="C197" s="109" t="n">
        <x:v>3</x:v>
      </x:c>
      <x:c r="D197" s="20" t="str">
        <x:v>SBE Y3 P1</x:v>
      </x:c>
      <x:c r="E197" s="87" t="str">
        <x:v>SBE3113A</x:v>
      </x:c>
      <x:c r="F197" s="92" t="str">
        <x:v>SBE3113A</x:v>
      </x:c>
      <x:c r="G197" s="20" t="str">
        <x:v>Seminar</x:v>
      </x:c>
      <x:c r="H197" s="109" t="n">
        <x:v>1</x:v>
      </x:c>
      <x:c r="I197" s="123" t="n">
        <x:v>2</x:v>
      </x:c>
      <x:c r="J197" s="109" t="n">
        <x:v>1</x:v>
      </x:c>
      <x:c r="K197" s="20" t="str">
        <x:v>Face-to-face</x:v>
      </x:c>
      <x:c r="L197" s="20" t="str">
        <x:v>Seminar Room</x:v>
      </x:c>
      <x:c r="M197" s="20" t="str">
        <x:v>Physical</x:v>
      </x:c>
      <x:c r="N197" s="109" t="n">
        <x:v>40</x:v>
      </x:c>
      <x:c r="O197" s="92" t="str">
        <x:v>AN HUI</x:v>
      </x:c>
      <x:c r="P197" s="92" t="str">
        <x:v>EMP1062</x:v>
      </x:c>
      <x:c r="Q197" s="92"/>
      <x:c r="R197" s="92"/>
      <x:c r="S197" s="92"/>
      <x:c r="T197" s="92"/>
      <x:c r="U197" s="92"/>
      <x:c r="V197" s="20"/>
      <x:c r="W197" s="92" t="str">
        <x:v>Requirements Template_ENG.xlsx + current admin module database</x:v>
      </x:c>
      <x:c r="X197" s="137" t="n">
        <x:v>424</x:v>
      </x:c>
    </x:row>
    <x:row r="198" ht="22" customHeight="1">
      <x:c r="A198" s="59" t="str">
        <x:v>REQ-SBE-SBE3124-LEC-01</x:v>
      </x:c>
      <x:c r="B198" s="73" t="str">
        <x:v>SBE</x:v>
      </x:c>
      <x:c r="C198" s="110" t="n">
        <x:v>3</x:v>
      </x:c>
      <x:c r="D198" s="24" t="str">
        <x:v>SBE Y3 P1</x:v>
      </x:c>
      <x:c r="E198" s="86" t="str">
        <x:v>SBE3124</x:v>
      </x:c>
      <x:c r="F198" s="93" t="str">
        <x:v>SBE3124</x:v>
      </x:c>
      <x:c r="G198" s="24" t="str">
        <x:v>Lecture</x:v>
      </x:c>
      <x:c r="H198" s="110" t="n">
        <x:v>1</x:v>
      </x:c>
      <x:c r="I198" s="124" t="n">
        <x:v>2</x:v>
      </x:c>
      <x:c r="J198" s="110" t="n">
        <x:v>1</x:v>
      </x:c>
      <x:c r="K198" s="24" t="str">
        <x:v>Face-to-face</x:v>
      </x:c>
      <x:c r="L198" s="24" t="str">
        <x:v>Lectorial</x:v>
      </x:c>
      <x:c r="M198" s="24" t="str">
        <x:v>Physical</x:v>
      </x:c>
      <x:c r="N198" s="110" t="n">
        <x:v>40</x:v>
      </x:c>
      <x:c r="O198" s="93" t="str">
        <x:v>CHIEN SZU-CHENG</x:v>
      </x:c>
      <x:c r="P198" s="93" t="str">
        <x:v>EMP1293</x:v>
      </x:c>
      <x:c r="Q198" s="93"/>
      <x:c r="R198" s="93"/>
      <x:c r="S198" s="93"/>
      <x:c r="T198" s="93"/>
      <x:c r="U198" s="93"/>
      <x:c r="V198" s="24"/>
      <x:c r="W198" s="93" t="str">
        <x:v>SBE Year 3.xlsx</x:v>
      </x:c>
      <x:c r="X198" s="138" t="n">
        <x:v>8</x:v>
      </x:c>
    </x:row>
    <x:row r="199" ht="22" customHeight="1">
      <x:c r="A199" s="61" t="str">
        <x:v>REQ-SBE-SBE3124-WKS-02</x:v>
      </x:c>
      <x:c r="B199" s="75" t="str">
        <x:v>SBE</x:v>
      </x:c>
      <x:c r="C199" s="112" t="n">
        <x:v>3</x:v>
      </x:c>
      <x:c r="D199" s="30" t="str">
        <x:v>SBE Y3 P1</x:v>
      </x:c>
      <x:c r="E199" s="87" t="str">
        <x:v>SBE3124</x:v>
      </x:c>
      <x:c r="F199" s="95" t="str">
        <x:v>SBE3124</x:v>
      </x:c>
      <x:c r="G199" s="30" t="str">
        <x:v>Workshop</x:v>
      </x:c>
      <x:c r="H199" s="112" t="n">
        <x:v>1</x:v>
      </x:c>
      <x:c r="I199" s="131" t="n">
        <x:v>3</x:v>
      </x:c>
      <x:c r="J199" s="112" t="n">
        <x:v>1</x:v>
      </x:c>
      <x:c r="K199" s="30" t="str">
        <x:v>Face-to-face</x:v>
      </x:c>
      <x:c r="L199" s="30" t="str">
        <x:v>Seminar Room</x:v>
      </x:c>
      <x:c r="M199" s="30" t="str">
        <x:v>Physical</x:v>
      </x:c>
      <x:c r="N199" s="112" t="n">
        <x:v>40</x:v>
      </x:c>
      <x:c r="O199" s="95" t="str">
        <x:v>CHIEN SZU-CHENG</x:v>
      </x:c>
      <x:c r="P199" s="95" t="str">
        <x:v>EMP1293</x:v>
      </x:c>
      <x:c r="Q199" s="95"/>
      <x:c r="R199" s="95"/>
      <x:c r="S199" s="95"/>
      <x:c r="T199" s="95"/>
      <x:c r="U199" s="95"/>
      <x:c r="V199" s="30"/>
      <x:c r="W199" s="95" t="str">
        <x:v>SBE Year 3.xlsx</x:v>
      </x:c>
      <x:c r="X199" s="140" t="n">
        <x:v>9</x:v>
      </x:c>
    </x:row>
    <x:row r="200" ht="22" customHeight="1">
      <x:c r="A200" s="62" t="str">
        <x:v>REQ-SBE-SBE3131-LEC-01</x:v>
      </x:c>
      <x:c r="B200" s="76" t="str">
        <x:v>SBE</x:v>
      </x:c>
      <x:c r="C200" s="113" t="n">
        <x:v>3</x:v>
      </x:c>
      <x:c r="D200" s="34" t="str">
        <x:v>SBE Y3 P1</x:v>
      </x:c>
      <x:c r="E200" s="86" t="str">
        <x:v>SBE3131</x:v>
      </x:c>
      <x:c r="F200" s="96" t="str">
        <x:v>SBE3131</x:v>
      </x:c>
      <x:c r="G200" s="34" t="str">
        <x:v>Lecture</x:v>
      </x:c>
      <x:c r="H200" s="113" t="n">
        <x:v>1</x:v>
      </x:c>
      <x:c r="I200" s="127" t="n">
        <x:v>2</x:v>
      </x:c>
      <x:c r="J200" s="113" t="n">
        <x:v>1</x:v>
      </x:c>
      <x:c r="K200" s="34" t="str">
        <x:v>Face-to-face</x:v>
      </x:c>
      <x:c r="L200" s="34" t="str">
        <x:v>Lectorial</x:v>
      </x:c>
      <x:c r="M200" s="34" t="str">
        <x:v>Physical</x:v>
      </x:c>
      <x:c r="N200" s="113" t="n">
        <x:v>40</x:v>
      </x:c>
      <x:c r="O200" s="96" t="str">
        <x:v>Fadeyi Moshood Olawale</x:v>
      </x:c>
      <x:c r="P200" s="96" t="str">
        <x:v>EMP3301</x:v>
      </x:c>
      <x:c r="Q200" s="96"/>
      <x:c r="R200" s="96"/>
      <x:c r="S200" s="96"/>
      <x:c r="T200" s="96"/>
      <x:c r="U200" s="96"/>
      <x:c r="V200" s="34"/>
      <x:c r="W200" s="96" t="str">
        <x:v>SBE Year 2.xlsx</x:v>
      </x:c>
      <x:c r="X200" s="141" t="n">
        <x:v>21</x:v>
      </x:c>
    </x:row>
    <x:row r="201" ht="22" customHeight="1">
      <x:c r="A201" s="63" t="str">
        <x:v>REQ-SBE-SBE3131-TUT-02</x:v>
      </x:c>
      <x:c r="B201" s="77" t="str">
        <x:v>SBE</x:v>
      </x:c>
      <x:c r="C201" s="114" t="n">
        <x:v>3</x:v>
      </x:c>
      <x:c r="D201" s="37" t="str">
        <x:v>SBE Y3 P1</x:v>
      </x:c>
      <x:c r="E201" s="87" t="str">
        <x:v>SBE3131</x:v>
      </x:c>
      <x:c r="F201" s="97" t="str">
        <x:v>SBE3131</x:v>
      </x:c>
      <x:c r="G201" s="37" t="str">
        <x:v>Tutorial</x:v>
      </x:c>
      <x:c r="H201" s="114" t="n">
        <x:v>1</x:v>
      </x:c>
      <x:c r="I201" s="128" t="n">
        <x:v>2</x:v>
      </x:c>
      <x:c r="J201" s="114" t="n">
        <x:v>1</x:v>
      </x:c>
      <x:c r="K201" s="37" t="str">
        <x:v>Face-to-face</x:v>
      </x:c>
      <x:c r="L201" s="37" t="str">
        <x:v>Seminar Room</x:v>
      </x:c>
      <x:c r="M201" s="37" t="str">
        <x:v>Physical</x:v>
      </x:c>
      <x:c r="N201" s="114" t="n">
        <x:v>40</x:v>
      </x:c>
      <x:c r="O201" s="97" t="str">
        <x:v>Fadeyi Moshood Olawale</x:v>
      </x:c>
      <x:c r="P201" s="97" t="str">
        <x:v>EMP3301</x:v>
      </x:c>
      <x:c r="Q201" s="97"/>
      <x:c r="R201" s="97"/>
      <x:c r="S201" s="97"/>
      <x:c r="T201" s="97"/>
      <x:c r="U201" s="97"/>
      <x:c r="V201" s="37"/>
      <x:c r="W201" s="97" t="str">
        <x:v>Requirements Template_ENG.xlsx + current admin module database</x:v>
      </x:c>
      <x:c r="X201" s="142" t="n">
        <x:v>433</x:v>
      </x:c>
    </x:row>
    <x:row r="202" ht="22" customHeight="1">
      <x:c r="A202" s="64" t="str">
        <x:v>REQ-SBE-SBE3132-LCT-01</x:v>
      </x:c>
      <x:c r="B202" s="78" t="str">
        <x:v>SBE</x:v>
      </x:c>
      <x:c r="C202" s="115" t="n">
        <x:v>3</x:v>
      </x:c>
      <x:c r="D202" s="41" t="str">
        <x:v>SBE Y3 P1</x:v>
      </x:c>
      <x:c r="E202" s="86" t="str">
        <x:v>SBE3132</x:v>
      </x:c>
      <x:c r="F202" s="98" t="str">
        <x:v>SBE3132</x:v>
      </x:c>
      <x:c r="G202" s="41" t="str">
        <x:v>Lectorial</x:v>
      </x:c>
      <x:c r="H202" s="115" t="n">
        <x:v>1</x:v>
      </x:c>
      <x:c r="I202" s="129" t="n">
        <x:v>2</x:v>
      </x:c>
      <x:c r="J202" s="115" t="n">
        <x:v>1</x:v>
      </x:c>
      <x:c r="K202" s="41" t="str">
        <x:v>Face-to-face</x:v>
      </x:c>
      <x:c r="L202" s="41" t="str">
        <x:v>Lectorial</x:v>
      </x:c>
      <x:c r="M202" s="41" t="str">
        <x:v>Physical</x:v>
      </x:c>
      <x:c r="N202" s="115" t="n">
        <x:v>40</x:v>
      </x:c>
      <x:c r="O202" s="98" t="str">
        <x:v>SOH CHEW BENG</x:v>
      </x:c>
      <x:c r="P202" s="98" t="str">
        <x:v>EMP2740</x:v>
      </x:c>
      <x:c r="Q202" s="98"/>
      <x:c r="R202" s="98"/>
      <x:c r="S202" s="98"/>
      <x:c r="T202" s="98"/>
      <x:c r="U202" s="98"/>
      <x:c r="V202" s="41"/>
      <x:c r="W202" s="98" t="str">
        <x:v>SBE Year 2.xlsx</x:v>
      </x:c>
      <x:c r="X202" s="143" t="n">
        <x:v>22</x:v>
      </x:c>
    </x:row>
    <x:row r="203" ht="22" customHeight="1">
      <x:c r="A203" s="68" t="str">
        <x:v>REQ-SBE-SBE3132-LCT-02B</x:v>
      </x:c>
      <x:c r="B203" s="82" t="str">
        <x:v>SBE</x:v>
      </x:c>
      <x:c r="C203" s="119" t="n">
        <x:v>3</x:v>
      </x:c>
      <x:c r="D203" s="53" t="str">
        <x:v>SBE Y3 P1</x:v>
      </x:c>
      <x:c r="E203" s="88" t="str">
        <x:v>SBE3132</x:v>
      </x:c>
      <x:c r="F203" s="102" t="str">
        <x:v>SBE3132</x:v>
      </x:c>
      <x:c r="G203" s="53" t="str">
        <x:v>Lectorial</x:v>
      </x:c>
      <x:c r="H203" s="119" t="n">
        <x:v>1</x:v>
      </x:c>
      <x:c r="I203" s="133" t="n">
        <x:v>2</x:v>
      </x:c>
      <x:c r="J203" s="119" t="n">
        <x:v>1</x:v>
      </x:c>
      <x:c r="K203" s="53" t="str">
        <x:v>Face-to-face</x:v>
      </x:c>
      <x:c r="L203" s="53" t="str">
        <x:v>Lectorial</x:v>
      </x:c>
      <x:c r="M203" s="53" t="str">
        <x:v>Physical</x:v>
      </x:c>
      <x:c r="N203" s="119" t="n">
        <x:v>40</x:v>
      </x:c>
      <x:c r="O203" s="102" t="str">
        <x:v>SOH CHEW BENG</x:v>
      </x:c>
      <x:c r="P203" s="102" t="str">
        <x:v>EMP2740</x:v>
      </x:c>
      <x:c r="Q203" s="102"/>
      <x:c r="R203" s="102"/>
      <x:c r="S203" s="102"/>
      <x:c r="T203" s="102"/>
      <x:c r="U203" s="102"/>
      <x:c r="V203" s="53"/>
      <x:c r="W203" s="102" t="str">
        <x:v>SBE Year 2.xlsx</x:v>
      </x:c>
      <x:c r="X203" s="147" t="n">
        <x:v>22</x:v>
      </x:c>
    </x:row>
    <x:row r="204" ht="22" customHeight="1">
      <x:c r="A204" s="65" t="str">
        <x:v>REQ-SBE-SBE3132-TUT-03</x:v>
      </x:c>
      <x:c r="B204" s="79" t="str">
        <x:v>SBE</x:v>
      </x:c>
      <x:c r="C204" s="116" t="n">
        <x:v>3</x:v>
      </x:c>
      <x:c r="D204" s="44" t="str">
        <x:v>SBE Y3 P1</x:v>
      </x:c>
      <x:c r="E204" s="87" t="str">
        <x:v>SBE3132</x:v>
      </x:c>
      <x:c r="F204" s="99" t="str">
        <x:v>SBE3132</x:v>
      </x:c>
      <x:c r="G204" s="44" t="str">
        <x:v>Tutorial</x:v>
      </x:c>
      <x:c r="H204" s="116" t="n">
        <x:v>1</x:v>
      </x:c>
      <x:c r="I204" s="126" t="n">
        <x:v>2</x:v>
      </x:c>
      <x:c r="J204" s="116" t="n">
        <x:v>1</x:v>
      </x:c>
      <x:c r="K204" s="44" t="str">
        <x:v>Face-to-face</x:v>
      </x:c>
      <x:c r="L204" s="44" t="str">
        <x:v>Seminar Room</x:v>
      </x:c>
      <x:c r="M204" s="44" t="str">
        <x:v>Physical</x:v>
      </x:c>
      <x:c r="N204" s="116" t="n">
        <x:v>40</x:v>
      </x:c>
      <x:c r="O204" s="99" t="str">
        <x:v>SOH CHEW BENG</x:v>
      </x:c>
      <x:c r="P204" s="99" t="str">
        <x:v>EMP2740</x:v>
      </x:c>
      <x:c r="Q204" s="99"/>
      <x:c r="R204" s="99"/>
      <x:c r="S204" s="99"/>
      <x:c r="T204" s="99"/>
      <x:c r="U204" s="99"/>
      <x:c r="V204" s="44"/>
      <x:c r="W204" s="99" t="str">
        <x:v>Requirements Template_ENG.xlsx + current admin module database</x:v>
      </x:c>
      <x:c r="X204" s="144" t="n">
        <x:v>434</x:v>
      </x:c>
    </x:row>
    <x:row r="205" ht="22" customHeight="1">
      <x:c r="A205" s="55" t="str">
        <x:v>REQ-SLT-SLT1203-LEC-01</x:v>
      </x:c>
      <x:c r="B205" s="69" t="str">
        <x:v>SLT</x:v>
      </x:c>
      <x:c r="C205" s="106" t="n">
        <x:v>1</x:v>
      </x:c>
      <x:c r="D205" s="10" t="str">
        <x:v>SLT Y1 P1</x:v>
      </x:c>
      <x:c r="E205" s="86" t="str">
        <x:v>SLT1203</x:v>
      </x:c>
      <x:c r="F205" s="89" t="str">
        <x:v>SLT1203</x:v>
      </x:c>
      <x:c r="G205" s="10" t="str">
        <x:v>Lecture</x:v>
      </x:c>
      <x:c r="H205" s="106" t="n">
        <x:v>1</x:v>
      </x:c>
      <x:c r="I205" s="120" t="n">
        <x:v>2</x:v>
      </x:c>
      <x:c r="J205" s="106" t="n">
        <x:v>1</x:v>
      </x:c>
      <x:c r="K205" s="103" t="str">
        <x:v>Online</x:v>
      </x:c>
      <x:c r="L205" s="103" t="str">
        <x:v>Virtual</x:v>
      </x:c>
      <x:c r="M205" s="103" t="str">
        <x:v>Virtual</x:v>
      </x:c>
      <x:c r="N205" s="106" t="n">
        <x:v>40</x:v>
      </x:c>
      <x:c r="O205" s="89" t="str">
        <x:v>AHMAD ZUHAIRI BIN SAAT</x:v>
      </x:c>
      <x:c r="P205" s="89" t="str">
        <x:v>EMP1026</x:v>
      </x:c>
      <x:c r="Q205" s="89"/>
      <x:c r="R205" s="89"/>
      <x:c r="S205" s="89"/>
      <x:c r="T205" s="89"/>
      <x:c r="U205" s="89"/>
      <x:c r="V205" s="10"/>
      <x:c r="W205" s="89" t="str">
        <x:v>Requirements Template_ENG.xlsx + current admin module database</x:v>
      </x:c>
      <x:c r="X205" s="134" t="n">
        <x:v>446</x:v>
      </x:c>
    </x:row>
    <x:row r="206" ht="22" customHeight="1">
      <x:c r="A206" s="56" t="str">
        <x:v>REQ-SLT-SLT1203-TUT-02</x:v>
      </x:c>
      <x:c r="B206" s="70" t="str">
        <x:v>SLT</x:v>
      </x:c>
      <x:c r="C206" s="107" t="n">
        <x:v>1</x:v>
      </x:c>
      <x:c r="D206" s="13" t="str">
        <x:v>SLT Y1 P1</x:v>
      </x:c>
      <x:c r="E206" s="87" t="str">
        <x:v>SLT1203</x:v>
      </x:c>
      <x:c r="F206" s="90" t="str">
        <x:v>SLT1203</x:v>
      </x:c>
      <x:c r="G206" s="13" t="str">
        <x:v>Tutorial</x:v>
      </x:c>
      <x:c r="H206" s="107" t="n">
        <x:v>1</x:v>
      </x:c>
      <x:c r="I206" s="121" t="n">
        <x:v>2</x:v>
      </x:c>
      <x:c r="J206" s="107" t="n">
        <x:v>1</x:v>
      </x:c>
      <x:c r="K206" s="13" t="str">
        <x:v>Face-to-face</x:v>
      </x:c>
      <x:c r="L206" s="13" t="str">
        <x:v>Seminar Room</x:v>
      </x:c>
      <x:c r="M206" s="13" t="str">
        <x:v>Physical</x:v>
      </x:c>
      <x:c r="N206" s="107" t="n">
        <x:v>40</x:v>
      </x:c>
      <x:c r="O206" s="90" t="str">
        <x:v>AHMAD ZUHAIRI BIN SAAT</x:v>
      </x:c>
      <x:c r="P206" s="90" t="str">
        <x:v>EMP1026</x:v>
      </x:c>
      <x:c r="Q206" s="90"/>
      <x:c r="R206" s="90"/>
      <x:c r="S206" s="90"/>
      <x:c r="T206" s="90"/>
      <x:c r="U206" s="90"/>
      <x:c r="V206" s="13"/>
      <x:c r="W206" s="90" t="str">
        <x:v>Requirements Template_ENG.xlsx + current admin module database</x:v>
      </x:c>
      <x:c r="X206" s="135" t="n">
        <x:v>446</x:v>
      </x:c>
    </x:row>
    <x:row r="207" ht="22" customHeight="1">
      <x:c r="A207" s="57" t="str">
        <x:v>REQ-SLT-SLT1204-LCT-01</x:v>
      </x:c>
      <x:c r="B207" s="71" t="str">
        <x:v>SLT</x:v>
      </x:c>
      <x:c r="C207" s="108" t="n">
        <x:v>1</x:v>
      </x:c>
      <x:c r="D207" s="17" t="str">
        <x:v>SLT Y1 P1</x:v>
      </x:c>
      <x:c r="E207" s="86" t="str">
        <x:v>SLT1204</x:v>
      </x:c>
      <x:c r="F207" s="91" t="str">
        <x:v>SLT1204</x:v>
      </x:c>
      <x:c r="G207" s="17" t="str">
        <x:v>Lectorial</x:v>
      </x:c>
      <x:c r="H207" s="108" t="n">
        <x:v>1</x:v>
      </x:c>
      <x:c r="I207" s="122" t="n">
        <x:v>2</x:v>
      </x:c>
      <x:c r="J207" s="108" t="n">
        <x:v>1</x:v>
      </x:c>
      <x:c r="K207" s="17" t="str">
        <x:v>Face-to-face</x:v>
      </x:c>
      <x:c r="L207" s="17" t="str">
        <x:v>Lectorial</x:v>
      </x:c>
      <x:c r="M207" s="17" t="str">
        <x:v>Physical</x:v>
      </x:c>
      <x:c r="N207" s="108" t="n">
        <x:v>40</x:v>
      </x:c>
      <x:c r="O207" s="91" t="str">
        <x:v>AISHWARIYAA RAMAKANTHAN</x:v>
      </x:c>
      <x:c r="P207" s="91" t="str">
        <x:v>EMP1027</x:v>
      </x:c>
      <x:c r="Q207" s="91"/>
      <x:c r="R207" s="91"/>
      <x:c r="S207" s="91"/>
      <x:c r="T207" s="91"/>
      <x:c r="U207" s="91"/>
      <x:c r="V207" s="17"/>
      <x:c r="W207" s="91" t="str">
        <x:v>Requirements Template_ENG.xlsx + current admin module database</x:v>
      </x:c>
      <x:c r="X207" s="136" t="n">
        <x:v>447</x:v>
      </x:c>
    </x:row>
    <x:row r="208" ht="22" customHeight="1">
      <x:c r="A208" s="58" t="str">
        <x:v>REQ-SLT-SLT1204-TUT-02</x:v>
      </x:c>
      <x:c r="B208" s="72" t="str">
        <x:v>SLT</x:v>
      </x:c>
      <x:c r="C208" s="109" t="n">
        <x:v>1</x:v>
      </x:c>
      <x:c r="D208" s="20" t="str">
        <x:v>SLT Y1 P1</x:v>
      </x:c>
      <x:c r="E208" s="87" t="str">
        <x:v>SLT1204</x:v>
      </x:c>
      <x:c r="F208" s="92" t="str">
        <x:v>SLT1204</x:v>
      </x:c>
      <x:c r="G208" s="20" t="str">
        <x:v>Tutorial</x:v>
      </x:c>
      <x:c r="H208" s="109" t="n">
        <x:v>1</x:v>
      </x:c>
      <x:c r="I208" s="123" t="n">
        <x:v>2</x:v>
      </x:c>
      <x:c r="J208" s="109" t="n">
        <x:v>1</x:v>
      </x:c>
      <x:c r="K208" s="20" t="str">
        <x:v>Face-to-face</x:v>
      </x:c>
      <x:c r="L208" s="20" t="str">
        <x:v>Seminar Room</x:v>
      </x:c>
      <x:c r="M208" s="20" t="str">
        <x:v>Physical</x:v>
      </x:c>
      <x:c r="N208" s="109" t="n">
        <x:v>40</x:v>
      </x:c>
      <x:c r="O208" s="92" t="str">
        <x:v>AISHWARIYAA RAMAKANTHAN</x:v>
      </x:c>
      <x:c r="P208" s="92" t="str">
        <x:v>EMP1027</x:v>
      </x:c>
      <x:c r="Q208" s="92"/>
      <x:c r="R208" s="92"/>
      <x:c r="S208" s="92"/>
      <x:c r="T208" s="92"/>
      <x:c r="U208" s="92"/>
      <x:c r="V208" s="20"/>
      <x:c r="W208" s="92" t="str">
        <x:v>Requirements Template_ENG.xlsx + current admin module database</x:v>
      </x:c>
      <x:c r="X208" s="137" t="n">
        <x:v>447</x:v>
      </x:c>
    </x:row>
    <x:row r="209" ht="22" customHeight="1">
      <x:c r="A209" s="59" t="str">
        <x:v>REQ-SLT-SLT2203-LEC-01</x:v>
      </x:c>
      <x:c r="B209" s="73" t="str">
        <x:v>SLT</x:v>
      </x:c>
      <x:c r="C209" s="110" t="n">
        <x:v>2</x:v>
      </x:c>
      <x:c r="D209" s="24" t="str">
        <x:v>SLT Y2 P1</x:v>
      </x:c>
      <x:c r="E209" s="86" t="str">
        <x:v>SLT2203</x:v>
      </x:c>
      <x:c r="F209" s="93" t="str">
        <x:v>SLT2203</x:v>
      </x:c>
      <x:c r="G209" s="24" t="str">
        <x:v>Lecture</x:v>
      </x:c>
      <x:c r="H209" s="110" t="n">
        <x:v>1</x:v>
      </x:c>
      <x:c r="I209" s="124" t="n">
        <x:v>2</x:v>
      </x:c>
      <x:c r="J209" s="110" t="n">
        <x:v>1</x:v>
      </x:c>
      <x:c r="K209" s="24" t="str">
        <x:v>Face-to-face</x:v>
      </x:c>
      <x:c r="L209" s="24" t="str">
        <x:v>Lectorial</x:v>
      </x:c>
      <x:c r="M209" s="24" t="str">
        <x:v>Physical</x:v>
      </x:c>
      <x:c r="N209" s="110" t="n">
        <x:v>40</x:v>
      </x:c>
      <x:c r="O209" s="93" t="str">
        <x:v>AIYING LOW</x:v>
      </x:c>
      <x:c r="P209" s="93" t="str">
        <x:v>EMP1028</x:v>
      </x:c>
      <x:c r="Q209" s="93"/>
      <x:c r="R209" s="93"/>
      <x:c r="S209" s="93"/>
      <x:c r="T209" s="93"/>
      <x:c r="U209" s="93"/>
      <x:c r="V209" s="24"/>
      <x:c r="W209" s="93" t="str">
        <x:v>Requirements Template_ENG.xlsx + current admin module database</x:v>
      </x:c>
      <x:c r="X209" s="138" t="n">
        <x:v>448</x:v>
      </x:c>
    </x:row>
    <x:row r="210" ht="22" customHeight="1">
      <x:c r="A210" s="60" t="str">
        <x:v>REQ-SLT-SLT2203-TUT-02</x:v>
      </x:c>
      <x:c r="B210" s="74" t="str">
        <x:v>SLT</x:v>
      </x:c>
      <x:c r="C210" s="111" t="n">
        <x:v>2</x:v>
      </x:c>
      <x:c r="D210" s="27" t="str">
        <x:v>SLT Y2 P1</x:v>
      </x:c>
      <x:c r="E210" s="88" t="str">
        <x:v>SLT2203</x:v>
      </x:c>
      <x:c r="F210" s="94" t="str">
        <x:v>SLT2203</x:v>
      </x:c>
      <x:c r="G210" s="27" t="str">
        <x:v>Tutorial</x:v>
      </x:c>
      <x:c r="H210" s="111" t="n">
        <x:v>1</x:v>
      </x:c>
      <x:c r="I210" s="125" t="n">
        <x:v>2</x:v>
      </x:c>
      <x:c r="J210" s="111" t="n">
        <x:v>1</x:v>
      </x:c>
      <x:c r="K210" s="27" t="str">
        <x:v>Face-to-face</x:v>
      </x:c>
      <x:c r="L210" s="27" t="str">
        <x:v>Seminar Room</x:v>
      </x:c>
      <x:c r="M210" s="27" t="str">
        <x:v>Physical</x:v>
      </x:c>
      <x:c r="N210" s="111" t="n">
        <x:v>40</x:v>
      </x:c>
      <x:c r="O210" s="94" t="str">
        <x:v>AIYING LOW</x:v>
      </x:c>
      <x:c r="P210" s="94" t="str">
        <x:v>EMP1028</x:v>
      </x:c>
      <x:c r="Q210" s="94"/>
      <x:c r="R210" s="94"/>
      <x:c r="S210" s="94"/>
      <x:c r="T210" s="94"/>
      <x:c r="U210" s="94"/>
      <x:c r="V210" s="27"/>
      <x:c r="W210" s="94" t="str">
        <x:v>Requirements Template_ENG.xlsx + current admin module database</x:v>
      </x:c>
      <x:c r="X210" s="139" t="n">
        <x:v>448</x:v>
      </x:c>
    </x:row>
    <x:row r="211" ht="22" customHeight="1">
      <x:c r="A211" s="61" t="str">
        <x:v>REQ-SLT-SLT2203-QZ-03</x:v>
      </x:c>
      <x:c r="B211" s="75" t="str">
        <x:v>SLT</x:v>
      </x:c>
      <x:c r="C211" s="112" t="n">
        <x:v>2</x:v>
      </x:c>
      <x:c r="D211" s="30" t="str">
        <x:v>SLT Y2 P1</x:v>
      </x:c>
      <x:c r="E211" s="87" t="str">
        <x:v>SLT2203</x:v>
      </x:c>
      <x:c r="F211" s="95" t="str">
        <x:v>SLT2203</x:v>
      </x:c>
      <x:c r="G211" s="44" t="str">
        <x:v>Quiz</x:v>
      </x:c>
      <x:c r="H211" s="116" t="n">
        <x:v>1</x:v>
      </x:c>
      <x:c r="I211" s="126" t="n">
        <x:v>1</x:v>
      </x:c>
      <x:c r="J211" s="112" t="n">
        <x:v>1</x:v>
      </x:c>
      <x:c r="K211" s="30" t="str">
        <x:v>Face-to-face</x:v>
      </x:c>
      <x:c r="L211" s="30" t="str">
        <x:v>Lectorial</x:v>
      </x:c>
      <x:c r="M211" s="30" t="str">
        <x:v>Physical</x:v>
      </x:c>
      <x:c r="N211" s="112" t="n">
        <x:v>40</x:v>
      </x:c>
      <x:c r="O211" s="95" t="str">
        <x:v>AIYING LOW</x:v>
      </x:c>
      <x:c r="P211" s="95" t="str">
        <x:v>EMP1028</x:v>
      </x:c>
      <x:c r="Q211" s="95"/>
      <x:c r="R211" s="95"/>
      <x:c r="S211" s="95"/>
      <x:c r="T211" s="95"/>
      <x:c r="U211" s="95"/>
      <x:c r="V211" s="30"/>
      <x:c r="W211" s="95" t="str">
        <x:v>Requirements Template_ENG.xlsx + current admin module database</x:v>
      </x:c>
      <x:c r="X211" s="140" t="n">
        <x:v>448</x:v>
      </x:c>
    </x:row>
    <x:row r="212" ht="22" customHeight="1">
      <x:c r="A212" s="62" t="str">
        <x:v>REQ-SLT-SLT2204-WKS-01</x:v>
      </x:c>
      <x:c r="B212" s="76" t="str">
        <x:v>SLT</x:v>
      </x:c>
      <x:c r="C212" s="113" t="n">
        <x:v>2</x:v>
      </x:c>
      <x:c r="D212" s="34" t="str">
        <x:v>SLT Y2 P1</x:v>
      </x:c>
      <x:c r="E212" s="86" t="str">
        <x:v>SLT2204</x:v>
      </x:c>
      <x:c r="F212" s="96" t="str">
        <x:v>SLT2204</x:v>
      </x:c>
      <x:c r="G212" s="34" t="str">
        <x:v>Workshop</x:v>
      </x:c>
      <x:c r="H212" s="113" t="n">
        <x:v>1</x:v>
      </x:c>
      <x:c r="I212" s="127" t="n">
        <x:v>3</x:v>
      </x:c>
      <x:c r="J212" s="113" t="n">
        <x:v>1</x:v>
      </x:c>
      <x:c r="K212" s="34" t="str">
        <x:v>Face-to-face</x:v>
      </x:c>
      <x:c r="L212" s="34" t="str">
        <x:v>Seminar Room</x:v>
      </x:c>
      <x:c r="M212" s="34" t="str">
        <x:v>Physical</x:v>
      </x:c>
      <x:c r="N212" s="113" t="n">
        <x:v>40</x:v>
      </x:c>
      <x:c r="O212" s="96" t="str">
        <x:v>AKASHDEEP SINGH BENIWAL</x:v>
      </x:c>
      <x:c r="P212" s="96" t="str">
        <x:v>EMP1029</x:v>
      </x:c>
      <x:c r="Q212" s="96"/>
      <x:c r="R212" s="96"/>
      <x:c r="S212" s="96"/>
      <x:c r="T212" s="96"/>
      <x:c r="U212" s="96"/>
      <x:c r="V212" s="34"/>
      <x:c r="W212" s="96" t="str">
        <x:v>Requirements Template_ENG.xlsx + current admin module database</x:v>
      </x:c>
      <x:c r="X212" s="141" t="n">
        <x:v>449</x:v>
      </x:c>
    </x:row>
    <x:row r="213" ht="22" customHeight="1">
      <x:c r="A213" s="63" t="str">
        <x:v>REQ-SLT-SLT2204-SEM-02</x:v>
      </x:c>
      <x:c r="B213" s="77" t="str">
        <x:v>SLT</x:v>
      </x:c>
      <x:c r="C213" s="114" t="n">
        <x:v>2</x:v>
      </x:c>
      <x:c r="D213" s="37" t="str">
        <x:v>SLT Y2 P1</x:v>
      </x:c>
      <x:c r="E213" s="87" t="str">
        <x:v>SLT2204</x:v>
      </x:c>
      <x:c r="F213" s="97" t="str">
        <x:v>SLT2204</x:v>
      </x:c>
      <x:c r="G213" s="37" t="str">
        <x:v>Seminar</x:v>
      </x:c>
      <x:c r="H213" s="114" t="n">
        <x:v>1</x:v>
      </x:c>
      <x:c r="I213" s="128" t="n">
        <x:v>2</x:v>
      </x:c>
      <x:c r="J213" s="114" t="n">
        <x:v>1</x:v>
      </x:c>
      <x:c r="K213" s="37" t="str">
        <x:v>Face-to-face</x:v>
      </x:c>
      <x:c r="L213" s="37" t="str">
        <x:v>Seminar Room</x:v>
      </x:c>
      <x:c r="M213" s="37" t="str">
        <x:v>Physical</x:v>
      </x:c>
      <x:c r="N213" s="114" t="n">
        <x:v>40</x:v>
      </x:c>
      <x:c r="O213" s="97" t="str">
        <x:v>AKASHDEEP SINGH BENIWAL</x:v>
      </x:c>
      <x:c r="P213" s="97" t="str">
        <x:v>EMP1029</x:v>
      </x:c>
      <x:c r="Q213" s="97"/>
      <x:c r="R213" s="97"/>
      <x:c r="S213" s="97"/>
      <x:c r="T213" s="97"/>
      <x:c r="U213" s="97"/>
      <x:c r="V213" s="37"/>
      <x:c r="W213" s="97" t="str">
        <x:v>Requirements Template_ENG.xlsx + current admin module database</x:v>
      </x:c>
      <x:c r="X213" s="142" t="n">
        <x:v>449</x:v>
      </x:c>
    </x:row>
    <x:row r="214" ht="22" customHeight="1">
      <x:c r="A214" s="64" t="str">
        <x:v>REQ-SLT-SLT3202-LEC-01</x:v>
      </x:c>
      <x:c r="B214" s="78" t="str">
        <x:v>SLT</x:v>
      </x:c>
      <x:c r="C214" s="115" t="n">
        <x:v>3</x:v>
      </x:c>
      <x:c r="D214" s="41" t="str">
        <x:v>SLT Y3 P1</x:v>
      </x:c>
      <x:c r="E214" s="86" t="str">
        <x:v>SLT3202</x:v>
      </x:c>
      <x:c r="F214" s="98" t="str">
        <x:v>SLT3202</x:v>
      </x:c>
      <x:c r="G214" s="41" t="str">
        <x:v>Lecture</x:v>
      </x:c>
      <x:c r="H214" s="115" t="n">
        <x:v>1</x:v>
      </x:c>
      <x:c r="I214" s="129" t="n">
        <x:v>2</x:v>
      </x:c>
      <x:c r="J214" s="115" t="n">
        <x:v>1</x:v>
      </x:c>
      <x:c r="K214" s="41" t="str">
        <x:v>Face-to-face</x:v>
      </x:c>
      <x:c r="L214" s="41" t="str">
        <x:v>Lectorial</x:v>
      </x:c>
      <x:c r="M214" s="41" t="str">
        <x:v>Physical</x:v>
      </x:c>
      <x:c r="N214" s="115" t="n">
        <x:v>40</x:v>
      </x:c>
      <x:c r="O214" s="98" t="str">
        <x:v>AKKIPEDDI RAMAM</x:v>
      </x:c>
      <x:c r="P214" s="98" t="str">
        <x:v>EMP1030</x:v>
      </x:c>
      <x:c r="Q214" s="98"/>
      <x:c r="R214" s="98"/>
      <x:c r="S214" s="98"/>
      <x:c r="T214" s="98"/>
      <x:c r="U214" s="98"/>
      <x:c r="V214" s="41"/>
      <x:c r="W214" s="98" t="str">
        <x:v>Requirements Template_ENG.xlsx + current admin module database</x:v>
      </x:c>
      <x:c r="X214" s="143" t="n">
        <x:v>450</x:v>
      </x:c>
    </x:row>
    <x:row r="215" ht="22" customHeight="1">
      <x:c r="A215" s="65" t="str">
        <x:v>REQ-SLT-SLT3202-TUT-02</x:v>
      </x:c>
      <x:c r="B215" s="79" t="str">
        <x:v>SLT</x:v>
      </x:c>
      <x:c r="C215" s="116" t="n">
        <x:v>3</x:v>
      </x:c>
      <x:c r="D215" s="44" t="str">
        <x:v>SLT Y3 P1</x:v>
      </x:c>
      <x:c r="E215" s="87" t="str">
        <x:v>SLT3202</x:v>
      </x:c>
      <x:c r="F215" s="99" t="str">
        <x:v>SLT3202</x:v>
      </x:c>
      <x:c r="G215" s="44" t="str">
        <x:v>Tutorial</x:v>
      </x:c>
      <x:c r="H215" s="116" t="n">
        <x:v>1</x:v>
      </x:c>
      <x:c r="I215" s="126" t="n">
        <x:v>2</x:v>
      </x:c>
      <x:c r="J215" s="116" t="n">
        <x:v>1</x:v>
      </x:c>
      <x:c r="K215" s="44" t="str">
        <x:v>Face-to-face</x:v>
      </x:c>
      <x:c r="L215" s="44" t="str">
        <x:v>Seminar Room</x:v>
      </x:c>
      <x:c r="M215" s="44" t="str">
        <x:v>Physical</x:v>
      </x:c>
      <x:c r="N215" s="116" t="n">
        <x:v>40</x:v>
      </x:c>
      <x:c r="O215" s="99" t="str">
        <x:v>AKKIPEDDI RAMAM</x:v>
      </x:c>
      <x:c r="P215" s="99" t="str">
        <x:v>EMP1030</x:v>
      </x:c>
      <x:c r="Q215" s="99"/>
      <x:c r="R215" s="99"/>
      <x:c r="S215" s="99"/>
      <x:c r="T215" s="99"/>
      <x:c r="U215" s="99"/>
      <x:c r="V215" s="44"/>
      <x:c r="W215" s="99" t="str">
        <x:v>Requirements Template_ENG.xlsx + current admin module database</x:v>
      </x:c>
      <x:c r="X215" s="144" t="n">
        <x:v>450</x:v>
      </x:c>
    </x:row>
    <x:row r="216" ht="22" customHeight="1">
      <x:c r="A216" s="55" t="str">
        <x:v>REQ-TCE-TCE1043-LEC-01</x:v>
      </x:c>
      <x:c r="B216" s="69" t="str">
        <x:v>TCE</x:v>
      </x:c>
      <x:c r="C216" s="106" t="n">
        <x:v>1</x:v>
      </x:c>
      <x:c r="D216" s="10" t="str">
        <x:v>TCE Y1 P1</x:v>
      </x:c>
      <x:c r="E216" s="86" t="str">
        <x:v>TCE1043</x:v>
      </x:c>
      <x:c r="F216" s="89" t="str">
        <x:v>TCE1043</x:v>
      </x:c>
      <x:c r="G216" s="10" t="str">
        <x:v>Lecture</x:v>
      </x:c>
      <x:c r="H216" s="106" t="n">
        <x:v>1</x:v>
      </x:c>
      <x:c r="I216" s="120" t="n">
        <x:v>2</x:v>
      </x:c>
      <x:c r="J216" s="106" t="n">
        <x:v>1</x:v>
      </x:c>
      <x:c r="K216" s="103" t="str">
        <x:v>Online</x:v>
      </x:c>
      <x:c r="L216" s="103" t="str">
        <x:v>Virtual</x:v>
      </x:c>
      <x:c r="M216" s="103" t="str">
        <x:v>Virtual</x:v>
      </x:c>
      <x:c r="N216" s="106" t="n">
        <x:v>40</x:v>
      </x:c>
      <x:c r="O216" s="89" t="str">
        <x:v>AKSHAY KUMAR RATHORE</x:v>
      </x:c>
      <x:c r="P216" s="89" t="str">
        <x:v>EMP1031</x:v>
      </x:c>
      <x:c r="Q216" s="89"/>
      <x:c r="R216" s="89"/>
      <x:c r="S216" s="89"/>
      <x:c r="T216" s="89"/>
      <x:c r="U216" s="89"/>
      <x:c r="V216" s="10"/>
      <x:c r="W216" s="89" t="str">
        <x:v>Requirements Template_ENG.xlsx + current admin module database</x:v>
      </x:c>
      <x:c r="X216" s="134" t="n">
        <x:v>455</x:v>
      </x:c>
    </x:row>
    <x:row r="217" ht="22" customHeight="1">
      <x:c r="A217" s="56" t="str">
        <x:v>REQ-TCE-TCE1043-TUT-02</x:v>
      </x:c>
      <x:c r="B217" s="70" t="str">
        <x:v>TCE</x:v>
      </x:c>
      <x:c r="C217" s="107" t="n">
        <x:v>1</x:v>
      </x:c>
      <x:c r="D217" s="13" t="str">
        <x:v>TCE Y1 P1</x:v>
      </x:c>
      <x:c r="E217" s="87" t="str">
        <x:v>TCE1043</x:v>
      </x:c>
      <x:c r="F217" s="90" t="str">
        <x:v>TCE1043</x:v>
      </x:c>
      <x:c r="G217" s="13" t="str">
        <x:v>Tutorial</x:v>
      </x:c>
      <x:c r="H217" s="107" t="n">
        <x:v>1</x:v>
      </x:c>
      <x:c r="I217" s="121" t="n">
        <x:v>2</x:v>
      </x:c>
      <x:c r="J217" s="107" t="n">
        <x:v>1</x:v>
      </x:c>
      <x:c r="K217" s="13" t="str">
        <x:v>Face-to-face</x:v>
      </x:c>
      <x:c r="L217" s="13" t="str">
        <x:v>Seminar Room</x:v>
      </x:c>
      <x:c r="M217" s="13" t="str">
        <x:v>Physical</x:v>
      </x:c>
      <x:c r="N217" s="107" t="n">
        <x:v>40</x:v>
      </x:c>
      <x:c r="O217" s="90" t="str">
        <x:v>AKSHAY KUMAR RATHORE</x:v>
      </x:c>
      <x:c r="P217" s="90" t="str">
        <x:v>EMP1031</x:v>
      </x:c>
      <x:c r="Q217" s="90"/>
      <x:c r="R217" s="90"/>
      <x:c r="S217" s="90"/>
      <x:c r="T217" s="90"/>
      <x:c r="U217" s="90"/>
      <x:c r="V217" s="13"/>
      <x:c r="W217" s="90" t="str">
        <x:v>Requirements Template_ENG.xlsx + current admin module database</x:v>
      </x:c>
      <x:c r="X217" s="135" t="n">
        <x:v>455</x:v>
      </x:c>
    </x:row>
    <x:row r="218" ht="22" customHeight="1">
      <x:c r="A218" s="57" t="str">
        <x:v>REQ-TCE-TCE1048-LCT-01</x:v>
      </x:c>
      <x:c r="B218" s="71" t="str">
        <x:v>TCE</x:v>
      </x:c>
      <x:c r="C218" s="108" t="n">
        <x:v>1</x:v>
      </x:c>
      <x:c r="D218" s="17" t="str">
        <x:v>TCE Y1 P1</x:v>
      </x:c>
      <x:c r="E218" s="86" t="str">
        <x:v>TCE1048</x:v>
      </x:c>
      <x:c r="F218" s="91" t="str">
        <x:v>TCE1048</x:v>
      </x:c>
      <x:c r="G218" s="17" t="str">
        <x:v>Lectorial</x:v>
      </x:c>
      <x:c r="H218" s="108" t="n">
        <x:v>1</x:v>
      </x:c>
      <x:c r="I218" s="122" t="n">
        <x:v>2</x:v>
      </x:c>
      <x:c r="J218" s="108" t="n">
        <x:v>1</x:v>
      </x:c>
      <x:c r="K218" s="17" t="str">
        <x:v>Face-to-face</x:v>
      </x:c>
      <x:c r="L218" s="17" t="str">
        <x:v>Lectorial</x:v>
      </x:c>
      <x:c r="M218" s="17" t="str">
        <x:v>Physical</x:v>
      </x:c>
      <x:c r="N218" s="108" t="n">
        <x:v>40</x:v>
      </x:c>
      <x:c r="O218" s="91" t="str">
        <x:v>ALAGESAN MUTHUKUMARASAMY</x:v>
      </x:c>
      <x:c r="P218" s="91" t="str">
        <x:v>EMP1032</x:v>
      </x:c>
      <x:c r="Q218" s="91"/>
      <x:c r="R218" s="91"/>
      <x:c r="S218" s="91"/>
      <x:c r="T218" s="91"/>
      <x:c r="U218" s="91"/>
      <x:c r="V218" s="17"/>
      <x:c r="W218" s="91" t="str">
        <x:v>Requirements Template_ENG.xlsx + current admin module database</x:v>
      </x:c>
      <x:c r="X218" s="136" t="n">
        <x:v>456</x:v>
      </x:c>
    </x:row>
    <x:row r="219" ht="22" customHeight="1">
      <x:c r="A219" s="58" t="str">
        <x:v>REQ-TCE-TCE1048-TUT-02</x:v>
      </x:c>
      <x:c r="B219" s="72" t="str">
        <x:v>TCE</x:v>
      </x:c>
      <x:c r="C219" s="109" t="n">
        <x:v>1</x:v>
      </x:c>
      <x:c r="D219" s="20" t="str">
        <x:v>TCE Y1 P1</x:v>
      </x:c>
      <x:c r="E219" s="87" t="str">
        <x:v>TCE1048</x:v>
      </x:c>
      <x:c r="F219" s="92" t="str">
        <x:v>TCE1048</x:v>
      </x:c>
      <x:c r="G219" s="20" t="str">
        <x:v>Tutorial</x:v>
      </x:c>
      <x:c r="H219" s="109" t="n">
        <x:v>1</x:v>
      </x:c>
      <x:c r="I219" s="123" t="n">
        <x:v>2</x:v>
      </x:c>
      <x:c r="J219" s="109" t="n">
        <x:v>1</x:v>
      </x:c>
      <x:c r="K219" s="20" t="str">
        <x:v>Face-to-face</x:v>
      </x:c>
      <x:c r="L219" s="20" t="str">
        <x:v>Seminar Room</x:v>
      </x:c>
      <x:c r="M219" s="20" t="str">
        <x:v>Physical</x:v>
      </x:c>
      <x:c r="N219" s="109" t="n">
        <x:v>40</x:v>
      </x:c>
      <x:c r="O219" s="92" t="str">
        <x:v>ALAGESAN MUTHUKUMARASAMY</x:v>
      </x:c>
      <x:c r="P219" s="92" t="str">
        <x:v>EMP1032</x:v>
      </x:c>
      <x:c r="Q219" s="92"/>
      <x:c r="R219" s="92"/>
      <x:c r="S219" s="92"/>
      <x:c r="T219" s="92"/>
      <x:c r="U219" s="92"/>
      <x:c r="V219" s="20"/>
      <x:c r="W219" s="92" t="str">
        <x:v>Requirements Template_ENG.xlsx + current admin module database</x:v>
      </x:c>
      <x:c r="X219" s="137" t="n">
        <x:v>456</x:v>
      </x:c>
    </x:row>
    <x:row r="220" ht="22" customHeight="1">
      <x:c r="A220" s="59" t="str">
        <x:v>REQ-TCE-TCE1049-LEC-01</x:v>
      </x:c>
      <x:c r="B220" s="73" t="str">
        <x:v>TCE</x:v>
      </x:c>
      <x:c r="C220" s="110" t="n">
        <x:v>1</x:v>
      </x:c>
      <x:c r="D220" s="24" t="str">
        <x:v>TCE Y1 P1</x:v>
      </x:c>
      <x:c r="E220" s="86" t="str">
        <x:v>TCE1049</x:v>
      </x:c>
      <x:c r="F220" s="93" t="str">
        <x:v>TCE1049</x:v>
      </x:c>
      <x:c r="G220" s="24" t="str">
        <x:v>Lecture</x:v>
      </x:c>
      <x:c r="H220" s="110" t="n">
        <x:v>1</x:v>
      </x:c>
      <x:c r="I220" s="124" t="n">
        <x:v>2</x:v>
      </x:c>
      <x:c r="J220" s="110" t="n">
        <x:v>1</x:v>
      </x:c>
      <x:c r="K220" s="24" t="str">
        <x:v>Face-to-face</x:v>
      </x:c>
      <x:c r="L220" s="24" t="str">
        <x:v>Lectorial</x:v>
      </x:c>
      <x:c r="M220" s="24" t="str">
        <x:v>Physical</x:v>
      </x:c>
      <x:c r="N220" s="110" t="n">
        <x:v>40</x:v>
      </x:c>
      <x:c r="O220" s="93" t="str">
        <x:v>ALDEN CH�NG CHUN YANG</x:v>
      </x:c>
      <x:c r="P220" s="93" t="str">
        <x:v>EMP1033</x:v>
      </x:c>
      <x:c r="Q220" s="93"/>
      <x:c r="R220" s="93"/>
      <x:c r="S220" s="93"/>
      <x:c r="T220" s="93"/>
      <x:c r="U220" s="93"/>
      <x:c r="V220" s="24"/>
      <x:c r="W220" s="93" t="str">
        <x:v>Requirements Template_ENG.xlsx + current admin module database</x:v>
      </x:c>
      <x:c r="X220" s="138" t="n">
        <x:v>457</x:v>
      </x:c>
    </x:row>
    <x:row r="221" ht="22" customHeight="1">
      <x:c r="A221" s="60" t="str">
        <x:v>REQ-TCE-TCE1049-TUT-02</x:v>
      </x:c>
      <x:c r="B221" s="74" t="str">
        <x:v>TCE</x:v>
      </x:c>
      <x:c r="C221" s="111" t="n">
        <x:v>1</x:v>
      </x:c>
      <x:c r="D221" s="27" t="str">
        <x:v>TCE Y1 P1</x:v>
      </x:c>
      <x:c r="E221" s="88" t="str">
        <x:v>TCE1049</x:v>
      </x:c>
      <x:c r="F221" s="94" t="str">
        <x:v>TCE1049</x:v>
      </x:c>
      <x:c r="G221" s="27" t="str">
        <x:v>Tutorial</x:v>
      </x:c>
      <x:c r="H221" s="111" t="n">
        <x:v>1</x:v>
      </x:c>
      <x:c r="I221" s="125" t="n">
        <x:v>2</x:v>
      </x:c>
      <x:c r="J221" s="111" t="n">
        <x:v>1</x:v>
      </x:c>
      <x:c r="K221" s="27" t="str">
        <x:v>Face-to-face</x:v>
      </x:c>
      <x:c r="L221" s="27" t="str">
        <x:v>Seminar Room</x:v>
      </x:c>
      <x:c r="M221" s="27" t="str">
        <x:v>Physical</x:v>
      </x:c>
      <x:c r="N221" s="111" t="n">
        <x:v>40</x:v>
      </x:c>
      <x:c r="O221" s="94" t="str">
        <x:v>ALDEN CH�NG CHUN YANG</x:v>
      </x:c>
      <x:c r="P221" s="94" t="str">
        <x:v>EMP1033</x:v>
      </x:c>
      <x:c r="Q221" s="94"/>
      <x:c r="R221" s="94"/>
      <x:c r="S221" s="94"/>
      <x:c r="T221" s="94"/>
      <x:c r="U221" s="94"/>
      <x:c r="V221" s="27"/>
      <x:c r="W221" s="94" t="str">
        <x:v>Requirements Template_ENG.xlsx + current admin module database</x:v>
      </x:c>
      <x:c r="X221" s="139" t="n">
        <x:v>457</x:v>
      </x:c>
    </x:row>
    <x:row r="222" ht="22" customHeight="1">
      <x:c r="A222" s="61" t="str">
        <x:v>REQ-TCE-TCE1049-QZ-03</x:v>
      </x:c>
      <x:c r="B222" s="75" t="str">
        <x:v>TCE</x:v>
      </x:c>
      <x:c r="C222" s="112" t="n">
        <x:v>1</x:v>
      </x:c>
      <x:c r="D222" s="30" t="str">
        <x:v>TCE Y1 P1</x:v>
      </x:c>
      <x:c r="E222" s="87" t="str">
        <x:v>TCE1049</x:v>
      </x:c>
      <x:c r="F222" s="95" t="str">
        <x:v>TCE1049</x:v>
      </x:c>
      <x:c r="G222" s="44" t="str">
        <x:v>Quiz</x:v>
      </x:c>
      <x:c r="H222" s="116" t="n">
        <x:v>1</x:v>
      </x:c>
      <x:c r="I222" s="126" t="n">
        <x:v>1</x:v>
      </x:c>
      <x:c r="J222" s="112" t="n">
        <x:v>1</x:v>
      </x:c>
      <x:c r="K222" s="30" t="str">
        <x:v>Face-to-face</x:v>
      </x:c>
      <x:c r="L222" s="30" t="str">
        <x:v>Lectorial</x:v>
      </x:c>
      <x:c r="M222" s="30" t="str">
        <x:v>Physical</x:v>
      </x:c>
      <x:c r="N222" s="112" t="n">
        <x:v>40</x:v>
      </x:c>
      <x:c r="O222" s="95" t="str">
        <x:v>ALDEN CH�NG CHUN YANG</x:v>
      </x:c>
      <x:c r="P222" s="95" t="str">
        <x:v>EMP1033</x:v>
      </x:c>
      <x:c r="Q222" s="95"/>
      <x:c r="R222" s="95"/>
      <x:c r="S222" s="95"/>
      <x:c r="T222" s="95"/>
      <x:c r="U222" s="95"/>
      <x:c r="V222" s="30"/>
      <x:c r="W222" s="95" t="str">
        <x:v>Requirements Template_ENG.xlsx + current admin module database</x:v>
      </x:c>
      <x:c r="X222" s="140" t="n">
        <x:v>457</x:v>
      </x:c>
    </x:row>
    <x:row r="223" ht="22" customHeight="1">
      <x:c r="A223" s="62" t="str">
        <x:v>REQ-TCE-TCE2025-WKS-01</x:v>
      </x:c>
      <x:c r="B223" s="76" t="str">
        <x:v>TCE</x:v>
      </x:c>
      <x:c r="C223" s="113" t="n">
        <x:v>2</x:v>
      </x:c>
      <x:c r="D223" s="34" t="str">
        <x:v>TCE Y2 P1</x:v>
      </x:c>
      <x:c r="E223" s="86" t="str">
        <x:v>TCE2025</x:v>
      </x:c>
      <x:c r="F223" s="96" t="str">
        <x:v>TCE2025</x:v>
      </x:c>
      <x:c r="G223" s="34" t="str">
        <x:v>Workshop</x:v>
      </x:c>
      <x:c r="H223" s="113" t="n">
        <x:v>1</x:v>
      </x:c>
      <x:c r="I223" s="127" t="n">
        <x:v>3</x:v>
      </x:c>
      <x:c r="J223" s="113" t="n">
        <x:v>1</x:v>
      </x:c>
      <x:c r="K223" s="34" t="str">
        <x:v>Face-to-face</x:v>
      </x:c>
      <x:c r="L223" s="34" t="str">
        <x:v>Seminar Room</x:v>
      </x:c>
      <x:c r="M223" s="34" t="str">
        <x:v>Physical</x:v>
      </x:c>
      <x:c r="N223" s="113" t="n">
        <x:v>40</x:v>
      </x:c>
      <x:c r="O223" s="96" t="str">
        <x:v>ALEJANDRA ACEVEDO-FANI</x:v>
      </x:c>
      <x:c r="P223" s="96" t="str">
        <x:v>EMP1034</x:v>
      </x:c>
      <x:c r="Q223" s="96"/>
      <x:c r="R223" s="96"/>
      <x:c r="S223" s="96"/>
      <x:c r="T223" s="96"/>
      <x:c r="U223" s="96"/>
      <x:c r="V223" s="34"/>
      <x:c r="W223" s="96" t="str">
        <x:v>Requirements Template_ENG.xlsx + current admin module database</x:v>
      </x:c>
      <x:c r="X223" s="141" t="n">
        <x:v>458</x:v>
      </x:c>
    </x:row>
    <x:row r="224" ht="22" customHeight="1">
      <x:c r="A224" s="63" t="str">
        <x:v>REQ-TCE-TCE2025-SEM-02</x:v>
      </x:c>
      <x:c r="B224" s="77" t="str">
        <x:v>TCE</x:v>
      </x:c>
      <x:c r="C224" s="114" t="n">
        <x:v>2</x:v>
      </x:c>
      <x:c r="D224" s="37" t="str">
        <x:v>TCE Y2 P1</x:v>
      </x:c>
      <x:c r="E224" s="87" t="str">
        <x:v>TCE2025</x:v>
      </x:c>
      <x:c r="F224" s="97" t="str">
        <x:v>TCE2025</x:v>
      </x:c>
      <x:c r="G224" s="37" t="str">
        <x:v>Seminar</x:v>
      </x:c>
      <x:c r="H224" s="114" t="n">
        <x:v>1</x:v>
      </x:c>
      <x:c r="I224" s="128" t="n">
        <x:v>2</x:v>
      </x:c>
      <x:c r="J224" s="114" t="n">
        <x:v>1</x:v>
      </x:c>
      <x:c r="K224" s="37" t="str">
        <x:v>Face-to-face</x:v>
      </x:c>
      <x:c r="L224" s="37" t="str">
        <x:v>Seminar Room</x:v>
      </x:c>
      <x:c r="M224" s="37" t="str">
        <x:v>Physical</x:v>
      </x:c>
      <x:c r="N224" s="114" t="n">
        <x:v>40</x:v>
      </x:c>
      <x:c r="O224" s="97" t="str">
        <x:v>ALEJANDRA ACEVEDO-FANI</x:v>
      </x:c>
      <x:c r="P224" s="97" t="str">
        <x:v>EMP1034</x:v>
      </x:c>
      <x:c r="Q224" s="97"/>
      <x:c r="R224" s="97"/>
      <x:c r="S224" s="97"/>
      <x:c r="T224" s="97"/>
      <x:c r="U224" s="97"/>
      <x:c r="V224" s="37"/>
      <x:c r="W224" s="97" t="str">
        <x:v>Requirements Template_ENG.xlsx + current admin module database</x:v>
      </x:c>
      <x:c r="X224" s="142" t="n">
        <x:v>458</x:v>
      </x:c>
    </x:row>
    <x:row r="225" ht="22" customHeight="1">
      <x:c r="A225" s="64" t="str">
        <x:v>REQ-TCE-TCE2040-LEC-01</x:v>
      </x:c>
      <x:c r="B225" s="78" t="str">
        <x:v>TCE</x:v>
      </x:c>
      <x:c r="C225" s="115" t="n">
        <x:v>2</x:v>
      </x:c>
      <x:c r="D225" s="41" t="str">
        <x:v>TCE Y2 P1</x:v>
      </x:c>
      <x:c r="E225" s="86" t="str">
        <x:v>TCE2040</x:v>
      </x:c>
      <x:c r="F225" s="98" t="str">
        <x:v>TCE2040</x:v>
      </x:c>
      <x:c r="G225" s="41" t="str">
        <x:v>Lecture</x:v>
      </x:c>
      <x:c r="H225" s="115" t="n">
        <x:v>1</x:v>
      </x:c>
      <x:c r="I225" s="129" t="n">
        <x:v>2</x:v>
      </x:c>
      <x:c r="J225" s="115" t="n">
        <x:v>1</x:v>
      </x:c>
      <x:c r="K225" s="41" t="str">
        <x:v>Face-to-face</x:v>
      </x:c>
      <x:c r="L225" s="41" t="str">
        <x:v>Lectorial</x:v>
      </x:c>
      <x:c r="M225" s="41" t="str">
        <x:v>Physical</x:v>
      </x:c>
      <x:c r="N225" s="115" t="n">
        <x:v>40</x:v>
      </x:c>
      <x:c r="O225" s="98" t="str">
        <x:v>ALESSANDRO FERGNANI</x:v>
      </x:c>
      <x:c r="P225" s="98" t="str">
        <x:v>EMP1035</x:v>
      </x:c>
      <x:c r="Q225" s="98"/>
      <x:c r="R225" s="98"/>
      <x:c r="S225" s="98"/>
      <x:c r="T225" s="98"/>
      <x:c r="U225" s="98"/>
      <x:c r="V225" s="41"/>
      <x:c r="W225" s="98" t="str">
        <x:v>Requirements Template_ENG.xlsx + current admin module database</x:v>
      </x:c>
      <x:c r="X225" s="143" t="n">
        <x:v>459</x:v>
      </x:c>
    </x:row>
    <x:row r="226" ht="22" customHeight="1">
      <x:c r="A226" s="65" t="str">
        <x:v>REQ-TCE-TCE2040-TUT-02</x:v>
      </x:c>
      <x:c r="B226" s="79" t="str">
        <x:v>TCE</x:v>
      </x:c>
      <x:c r="C226" s="116" t="n">
        <x:v>2</x:v>
      </x:c>
      <x:c r="D226" s="44" t="str">
        <x:v>TCE Y2 P1</x:v>
      </x:c>
      <x:c r="E226" s="87" t="str">
        <x:v>TCE2040</x:v>
      </x:c>
      <x:c r="F226" s="99" t="str">
        <x:v>TCE2040</x:v>
      </x:c>
      <x:c r="G226" s="44" t="str">
        <x:v>Tutorial</x:v>
      </x:c>
      <x:c r="H226" s="116" t="n">
        <x:v>1</x:v>
      </x:c>
      <x:c r="I226" s="126" t="n">
        <x:v>2</x:v>
      </x:c>
      <x:c r="J226" s="116" t="n">
        <x:v>1</x:v>
      </x:c>
      <x:c r="K226" s="44" t="str">
        <x:v>Face-to-face</x:v>
      </x:c>
      <x:c r="L226" s="44" t="str">
        <x:v>Seminar Room</x:v>
      </x:c>
      <x:c r="M226" s="44" t="str">
        <x:v>Physical</x:v>
      </x:c>
      <x:c r="N226" s="116" t="n">
        <x:v>40</x:v>
      </x:c>
      <x:c r="O226" s="99" t="str">
        <x:v>ALESSANDRO FERGNANI</x:v>
      </x:c>
      <x:c r="P226" s="99" t="str">
        <x:v>EMP1035</x:v>
      </x:c>
      <x:c r="Q226" s="99"/>
      <x:c r="R226" s="99"/>
      <x:c r="S226" s="99"/>
      <x:c r="T226" s="99"/>
      <x:c r="U226" s="99"/>
      <x:c r="V226" s="44"/>
      <x:c r="W226" s="99" t="str">
        <x:v>Requirements Template_ENG.xlsx + current admin module database</x:v>
      </x:c>
      <x:c r="X226" s="144" t="n">
        <x:v>459</x:v>
      </x:c>
    </x:row>
  </x:sheetData>
  <x:dataValidations count="9">
    <x:dataValidation type="whole" operator="between" sqref="C2:C226">
      <x:formula1>1</x:formula1>
      <x:formula2>4</x:formula2>
    </x:dataValidation>
    <x:dataValidation type="list" sqref="G2:G226">
      <x:formula1>"Lecture,Lectorial,Tutorial,Workshop,Seminar,Quiz"</x:formula1>
    </x:dataValidation>
    <x:dataValidation type="whole" operator="between" sqref="H2:H226">
      <x:formula1>1</x:formula1>
      <x:formula2>5</x:formula2>
    </x:dataValidation>
    <x:dataValidation type="list" sqref="I2:I226">
      <x:formula1>"1,1.5,2,2.5,3,4,5"</x:formula1>
    </x:dataValidation>
    <x:dataValidation type="whole" operator="between" sqref="J2:J226">
      <x:formula1>1</x:formula1>
      <x:formula2>5</x:formula2>
    </x:dataValidation>
    <x:dataValidation type="list" sqref="K2:K226">
      <x:formula1>"Face-to-face,Online,Hybrid,Asynchronous"</x:formula1>
    </x:dataValidation>
    <x:dataValidation type="list" sqref="L2:L226">
      <x:formula1>"Lectorial,Seminar Room,Virtual"</x:formula1>
    </x:dataValidation>
    <x:dataValidation type="list" sqref="M2:M226">
      <x:formula1>"Physical,Virtual"</x:formula1>
    </x:dataValidation>
    <x:dataValidation type="whole" operator="between" sqref="N2:N226">
      <x:formula1>1</x:formula1>
      <x:formula2>999</x:formula2>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5" hidden="0" customWidth="1"/>
    <x:col min="2" max="2" width="11" hidden="0" customWidth="1"/>
    <x:col min="3" max="3" width="11" hidden="0" customWidth="1"/>
    <x:col min="4" max="4" width="14" hidden="0" customWidth="1"/>
    <x:col min="5" max="5" width="22" hidden="0" customWidth="1"/>
    <x:col min="6" max="6" width="18" hidden="0" customWidth="1"/>
    <x:col min="7" max="7" width="18" hidden="0" customWidth="1"/>
    <x:col min="8" max="8" width="16" hidden="0" customWidth="1"/>
    <x:col min="9" max="9" width="14" hidden="0" customWidth="1"/>
    <x:col min="10" max="10" width="17" hidden="0" customWidth="1"/>
    <x:col min="11" max="11" width="16" hidden="0" customWidth="1"/>
    <x:col min="12" max="12" width="12" hidden="0" customWidth="1"/>
    <x:col min="13" max="13" width="18" hidden="0" customWidth="1"/>
    <x:col min="14" max="14" width="27" hidden="0" customWidth="1"/>
    <x:col min="15" max="15" width="28" hidden="0" customWidth="1"/>
    <x:col min="16" max="16" width="34" hidden="0" customWidth="1"/>
    <x:col min="17" max="17" width="34" hidden="0" customWidth="1"/>
    <x:col min="18" max="18" width="42" hidden="0" customWidth="1"/>
  </x:cols>
  <x:sheetData>
    <x:row r="1" ht="42" customHeight="1">
      <x:c r="A1" s="7" t="str">
        <x:v>Requirement ID</x:v>
      </x:c>
      <x:c r="B1" s="7" t="str">
        <x:v>Start Week</x:v>
      </x:c>
      <x:c r="C1" s="7" t="str">
        <x:v>End Week</x:v>
      </x:c>
      <x:c r="D1" s="7" t="str">
        <x:v>Week Pattern</x:v>
      </x:c>
      <x:c r="E1" s="7" t="str">
        <x:v>Custom Weeks</x:v>
      </x:c>
      <x:c r="F1" s="7" t="str">
        <x:v>Scheduling Type</x:v>
      </x:c>
      <x:c r="G1" s="7" t="str">
        <x:v>Preferred Days</x:v>
      </x:c>
      <x:c r="H1" s="7" t="str">
        <x:v>Avoid Days</x:v>
      </x:c>
      <x:c r="I1" s="7" t="str">
        <x:v>Fixed Day</x:v>
      </x:c>
      <x:c r="J1" s="7" t="str">
        <x:v>Fixed Start Time</x:v>
      </x:c>
      <x:c r="K1" s="7" t="str">
        <x:v>Fixed End Time</x:v>
      </x:c>
      <x:c r="L1" s="7" t="str">
        <x:v>Priority</x:v>
      </x:c>
      <x:c r="M1" s="7" t="str">
        <x:v>Common Module?</x:v>
      </x:c>
      <x:c r="N1" s="7" t="str">
        <x:v>Shared Session Group ID</x:v>
      </x:c>
      <x:c r="O1" s="7" t="str">
        <x:v>Combined With Programmes</x:v>
      </x:c>
      <x:c r="P1" s="7" t="str">
        <x:v>Hard Constraint Notes</x:v>
      </x:c>
      <x:c r="Q1" s="7" t="str">
        <x:v>Soft Preference Notes</x:v>
      </x:c>
      <x:c r="R1" s="7" t="str">
        <x:v>Remarks</x:v>
      </x:c>
    </x:row>
    <x:row r="2" ht="22" customHeight="1">
      <x:c r="A2" s="55" t="str">
        <x:v>REQ-ACC-ACC1023-LEC-01</x:v>
      </x:c>
      <x:c r="B2" s="106" t="n">
        <x:v>1</x:v>
      </x:c>
      <x:c r="C2" s="106" t="n">
        <x:v>13</x:v>
      </x:c>
      <x:c r="D2" s="10" t="str">
        <x:v>Custom</x:v>
      </x:c>
      <x:c r="E2" s="89" t="str">
        <x:v>1,2,3,4,5,6,8,9,10,11,12,13</x:v>
      </x:c>
      <x:c r="F2" s="10" t="str">
        <x:v>Flexible</x:v>
      </x:c>
      <x:c r="G2" s="10"/>
      <x:c r="H2" s="10"/>
      <x:c r="I2" s="10"/>
      <x:c r="J2" s="10"/>
      <x:c r="K2" s="10"/>
      <x:c r="L2" s="10" t="str">
        <x:v>Normal</x:v>
      </x:c>
      <x:c r="M2" s="10" t="str">
        <x:v>No</x:v>
      </x:c>
      <x:c r="N2" s="89"/>
      <x:c r="O2" s="89"/>
      <x:c r="P2" s="89"/>
      <x:c r="Q2" s="89"/>
      <x:c r="R2" s="148"/>
    </x:row>
    <x:row r="3" ht="22" customHeight="1">
      <x:c r="A3" s="56" t="str">
        <x:v>REQ-ACC-ACC1023-TUT-02</x:v>
      </x:c>
      <x:c r="B3" s="107" t="n">
        <x:v>1</x:v>
      </x:c>
      <x:c r="C3" s="107" t="n">
        <x:v>12</x:v>
      </x:c>
      <x:c r="D3" s="13" t="str">
        <x:v>Custom</x:v>
      </x:c>
      <x:c r="E3" s="90" t="str">
        <x:v>1,2,3,4,5,6,8,9,10,11,12</x:v>
      </x:c>
      <x:c r="F3" s="13" t="str">
        <x:v>Flexible</x:v>
      </x:c>
      <x:c r="G3" s="13"/>
      <x:c r="H3" s="13"/>
      <x:c r="I3" s="13"/>
      <x:c r="J3" s="13"/>
      <x:c r="K3" s="13"/>
      <x:c r="L3" s="13" t="str">
        <x:v>Normal</x:v>
      </x:c>
      <x:c r="M3" s="13" t="str">
        <x:v>No</x:v>
      </x:c>
      <x:c r="N3" s="90"/>
      <x:c r="O3" s="90"/>
      <x:c r="P3" s="90"/>
      <x:c r="Q3" s="90"/>
      <x:c r="R3" s="149"/>
    </x:row>
    <x:row r="4" ht="22" customHeight="1">
      <x:c r="A4" s="57" t="str">
        <x:v>REQ-ACC-ACC1024-LCT-01</x:v>
      </x:c>
      <x:c r="B4" s="108" t="n">
        <x:v>1</x:v>
      </x:c>
      <x:c r="C4" s="108" t="n">
        <x:v>13</x:v>
      </x:c>
      <x:c r="D4" s="17" t="str">
        <x:v>Custom</x:v>
      </x:c>
      <x:c r="E4" s="91" t="str">
        <x:v>1,2,3,4,5,6,8,9,10,11,12,13</x:v>
      </x:c>
      <x:c r="F4" s="17" t="str">
        <x:v>Flexible</x:v>
      </x:c>
      <x:c r="G4" s="17"/>
      <x:c r="H4" s="17"/>
      <x:c r="I4" s="17"/>
      <x:c r="J4" s="17"/>
      <x:c r="K4" s="17"/>
      <x:c r="L4" s="17" t="str">
        <x:v>Normal</x:v>
      </x:c>
      <x:c r="M4" s="17" t="str">
        <x:v>No</x:v>
      </x:c>
      <x:c r="N4" s="91"/>
      <x:c r="O4" s="91"/>
      <x:c r="P4" s="91"/>
      <x:c r="Q4" s="91"/>
      <x:c r="R4" s="150"/>
    </x:row>
    <x:row r="5" ht="22" customHeight="1">
      <x:c r="A5" s="58" t="str">
        <x:v>REQ-ACC-ACC1024-TUT-02</x:v>
      </x:c>
      <x:c r="B5" s="109" t="n">
        <x:v>1</x:v>
      </x:c>
      <x:c r="C5" s="109" t="n">
        <x:v>12</x:v>
      </x:c>
      <x:c r="D5" s="20" t="str">
        <x:v>Custom</x:v>
      </x:c>
      <x:c r="E5" s="92" t="str">
        <x:v>1,2,3,4,5,6,8,9,10,11,12</x:v>
      </x:c>
      <x:c r="F5" s="20" t="str">
        <x:v>Flexible</x:v>
      </x:c>
      <x:c r="G5" s="20"/>
      <x:c r="H5" s="20"/>
      <x:c r="I5" s="20"/>
      <x:c r="J5" s="20"/>
      <x:c r="K5" s="20"/>
      <x:c r="L5" s="20" t="str">
        <x:v>Normal</x:v>
      </x:c>
      <x:c r="M5" s="20" t="str">
        <x:v>No</x:v>
      </x:c>
      <x:c r="N5" s="92"/>
      <x:c r="O5" s="92"/>
      <x:c r="P5" s="92"/>
      <x:c r="Q5" s="92"/>
      <x:c r="R5" s="151"/>
    </x:row>
    <x:row r="6" ht="22" customHeight="1">
      <x:c r="A6" s="59" t="str">
        <x:v>REQ-ACC-ACC1025-LEC-01</x:v>
      </x:c>
      <x:c r="B6" s="110" t="n">
        <x:v>1</x:v>
      </x:c>
      <x:c r="C6" s="110" t="n">
        <x:v>13</x:v>
      </x:c>
      <x:c r="D6" s="24" t="str">
        <x:v>Custom</x:v>
      </x:c>
      <x:c r="E6" s="93" t="str">
        <x:v>1,2,3,4,5,6,8,9,10,11,12,13</x:v>
      </x:c>
      <x:c r="F6" s="24" t="str">
        <x:v>Flexible</x:v>
      </x:c>
      <x:c r="G6" s="24"/>
      <x:c r="H6" s="24"/>
      <x:c r="I6" s="24"/>
      <x:c r="J6" s="24"/>
      <x:c r="K6" s="24"/>
      <x:c r="L6" s="24" t="str">
        <x:v>Normal</x:v>
      </x:c>
      <x:c r="M6" s="24" t="str">
        <x:v>No</x:v>
      </x:c>
      <x:c r="N6" s="93"/>
      <x:c r="O6" s="93"/>
      <x:c r="P6" s="93"/>
      <x:c r="Q6" s="93"/>
      <x:c r="R6" s="152"/>
    </x:row>
    <x:row r="7" ht="22" customHeight="1">
      <x:c r="A7" s="60" t="str">
        <x:v>REQ-ACC-ACC1025-TUT-02</x:v>
      </x:c>
      <x:c r="B7" s="111" t="n">
        <x:v>1</x:v>
      </x:c>
      <x:c r="C7" s="111" t="n">
        <x:v>12</x:v>
      </x:c>
      <x:c r="D7" s="27" t="str">
        <x:v>Custom</x:v>
      </x:c>
      <x:c r="E7" s="94" t="str">
        <x:v>1,2,3,4,5,6,8,9,10,11,12</x:v>
      </x:c>
      <x:c r="F7" s="27" t="str">
        <x:v>Flexible</x:v>
      </x:c>
      <x:c r="G7" s="27"/>
      <x:c r="H7" s="27"/>
      <x:c r="I7" s="27"/>
      <x:c r="J7" s="27"/>
      <x:c r="K7" s="27"/>
      <x:c r="L7" s="27" t="str">
        <x:v>Normal</x:v>
      </x:c>
      <x:c r="M7" s="27" t="str">
        <x:v>No</x:v>
      </x:c>
      <x:c r="N7" s="94"/>
      <x:c r="O7" s="94"/>
      <x:c r="P7" s="94"/>
      <x:c r="Q7" s="94"/>
      <x:c r="R7" s="153"/>
    </x:row>
    <x:row r="8" ht="22" customHeight="1">
      <x:c r="A8" s="61" t="str">
        <x:v>REQ-ACC-ACC1025-QZ-03</x:v>
      </x:c>
      <x:c r="B8" s="112" t="n">
        <x:v>6</x:v>
      </x:c>
      <x:c r="C8" s="112" t="n">
        <x:v>6</x:v>
      </x:c>
      <x:c r="D8" s="30" t="str">
        <x:v>Custom</x:v>
      </x:c>
      <x:c r="E8" s="95" t="str">
        <x:v>6</x:v>
      </x:c>
      <x:c r="F8" s="30" t="str">
        <x:v>Flexible</x:v>
      </x:c>
      <x:c r="G8" s="30"/>
      <x:c r="H8" s="30"/>
      <x:c r="I8" s="30"/>
      <x:c r="J8" s="30"/>
      <x:c r="K8" s="30"/>
      <x:c r="L8" s="30" t="str">
        <x:v>Normal</x:v>
      </x:c>
      <x:c r="M8" s="30" t="str">
        <x:v>No</x:v>
      </x:c>
      <x:c r="N8" s="95"/>
      <x:c r="O8" s="95"/>
      <x:c r="P8" s="95"/>
      <x:c r="Q8" s="95"/>
      <x:c r="R8" s="154"/>
    </x:row>
    <x:row r="9" ht="22" customHeight="1">
      <x:c r="A9" s="62" t="str">
        <x:v>REQ-ACC-ACC1026-WKS-01</x:v>
      </x:c>
      <x:c r="B9" s="113" t="n">
        <x:v>1</x:v>
      </x:c>
      <x:c r="C9" s="113" t="n">
        <x:v>13</x:v>
      </x:c>
      <x:c r="D9" s="34" t="str">
        <x:v>Custom</x:v>
      </x:c>
      <x:c r="E9" s="96" t="str">
        <x:v>1,2,3,4,5,6,8,9,10,11,12,13</x:v>
      </x:c>
      <x:c r="F9" s="34" t="str">
        <x:v>Flexible</x:v>
      </x:c>
      <x:c r="G9" s="34"/>
      <x:c r="H9" s="34"/>
      <x:c r="I9" s="34"/>
      <x:c r="J9" s="34"/>
      <x:c r="K9" s="34"/>
      <x:c r="L9" s="34" t="str">
        <x:v>Normal</x:v>
      </x:c>
      <x:c r="M9" s="34" t="str">
        <x:v>No</x:v>
      </x:c>
      <x:c r="N9" s="96"/>
      <x:c r="O9" s="96"/>
      <x:c r="P9" s="96"/>
      <x:c r="Q9" s="96"/>
      <x:c r="R9" s="155"/>
    </x:row>
    <x:row r="10" ht="22" customHeight="1">
      <x:c r="A10" s="63" t="str">
        <x:v>REQ-ACC-ACC1026-SEM-02</x:v>
      </x:c>
      <x:c r="B10" s="114" t="n">
        <x:v>1</x:v>
      </x:c>
      <x:c r="C10" s="114" t="n">
        <x:v>12</x:v>
      </x:c>
      <x:c r="D10" s="37" t="str">
        <x:v>Custom</x:v>
      </x:c>
      <x:c r="E10" s="97" t="str">
        <x:v>1,2,3,4,5,6,8,9,10,11,12</x:v>
      </x:c>
      <x:c r="F10" s="37" t="str">
        <x:v>Flexible</x:v>
      </x:c>
      <x:c r="G10" s="37"/>
      <x:c r="H10" s="37"/>
      <x:c r="I10" s="37"/>
      <x:c r="J10" s="37"/>
      <x:c r="K10" s="37"/>
      <x:c r="L10" s="37" t="str">
        <x:v>Normal</x:v>
      </x:c>
      <x:c r="M10" s="37" t="str">
        <x:v>No</x:v>
      </x:c>
      <x:c r="N10" s="97"/>
      <x:c r="O10" s="97"/>
      <x:c r="P10" s="97"/>
      <x:c r="Q10" s="97"/>
      <x:c r="R10" s="156"/>
    </x:row>
    <x:row r="11" ht="22" customHeight="1">
      <x:c r="A11" s="64" t="str">
        <x:v>REQ-ACC-ACC3011-LEC-01</x:v>
      </x:c>
      <x:c r="B11" s="115" t="n">
        <x:v>1</x:v>
      </x:c>
      <x:c r="C11" s="115" t="n">
        <x:v>13</x:v>
      </x:c>
      <x:c r="D11" s="41" t="str">
        <x:v>Custom</x:v>
      </x:c>
      <x:c r="E11" s="98" t="str">
        <x:v>1,2,3,4,5,6,8,9,10,11,12,13</x:v>
      </x:c>
      <x:c r="F11" s="41" t="str">
        <x:v>Flexible</x:v>
      </x:c>
      <x:c r="G11" s="41"/>
      <x:c r="H11" s="41"/>
      <x:c r="I11" s="41"/>
      <x:c r="J11" s="41"/>
      <x:c r="K11" s="41"/>
      <x:c r="L11" s="41" t="str">
        <x:v>Normal</x:v>
      </x:c>
      <x:c r="M11" s="41" t="str">
        <x:v>No</x:v>
      </x:c>
      <x:c r="N11" s="98"/>
      <x:c r="O11" s="98"/>
      <x:c r="P11" s="98"/>
      <x:c r="Q11" s="98"/>
      <x:c r="R11" s="157"/>
    </x:row>
    <x:row r="12" ht="22" customHeight="1">
      <x:c r="A12" s="65" t="str">
        <x:v>REQ-ACC-ACC3011-TUT-02</x:v>
      </x:c>
      <x:c r="B12" s="116" t="n">
        <x:v>1</x:v>
      </x:c>
      <x:c r="C12" s="116" t="n">
        <x:v>12</x:v>
      </x:c>
      <x:c r="D12" s="44" t="str">
        <x:v>Custom</x:v>
      </x:c>
      <x:c r="E12" s="99" t="str">
        <x:v>1,2,3,4,5,6,8,9,10,11,12</x:v>
      </x:c>
      <x:c r="F12" s="44" t="str">
        <x:v>Flexible</x:v>
      </x:c>
      <x:c r="G12" s="44"/>
      <x:c r="H12" s="44"/>
      <x:c r="I12" s="44"/>
      <x:c r="J12" s="44"/>
      <x:c r="K12" s="44"/>
      <x:c r="L12" s="44" t="str">
        <x:v>Normal</x:v>
      </x:c>
      <x:c r="M12" s="44" t="str">
        <x:v>No</x:v>
      </x:c>
      <x:c r="N12" s="99"/>
      <x:c r="O12" s="99"/>
      <x:c r="P12" s="99"/>
      <x:c r="Q12" s="99"/>
      <x:c r="R12" s="158"/>
    </x:row>
    <x:row r="13" ht="22" customHeight="1">
      <x:c r="A13" s="55" t="str">
        <x:v>REQ-ASE-ASE1101-LEC-01</x:v>
      </x:c>
      <x:c r="B13" s="106" t="n">
        <x:v>1</x:v>
      </x:c>
      <x:c r="C13" s="106" t="n">
        <x:v>13</x:v>
      </x:c>
      <x:c r="D13" s="10" t="str">
        <x:v>Custom</x:v>
      </x:c>
      <x:c r="E13" s="89" t="str">
        <x:v>1,2,3,4,5,6,8,9,10,11,12,13</x:v>
      </x:c>
      <x:c r="F13" s="10" t="str">
        <x:v>Flexible</x:v>
      </x:c>
      <x:c r="G13" s="10"/>
      <x:c r="H13" s="10"/>
      <x:c r="I13" s="10"/>
      <x:c r="J13" s="10"/>
      <x:c r="K13" s="10"/>
      <x:c r="L13" s="10" t="str">
        <x:v>Normal</x:v>
      </x:c>
      <x:c r="M13" s="10" t="str">
        <x:v>No</x:v>
      </x:c>
      <x:c r="N13" s="89"/>
      <x:c r="O13" s="89"/>
      <x:c r="P13" s="89"/>
      <x:c r="Q13" s="89"/>
      <x:c r="R13" s="148"/>
    </x:row>
    <x:row r="14" ht="22" customHeight="1">
      <x:c r="A14" s="66" t="str">
        <x:v>REQ-ASE-ASE1101-TUT-02</x:v>
      </x:c>
      <x:c r="B14" s="117" t="n">
        <x:v>2</x:v>
      </x:c>
      <x:c r="C14" s="117" t="n">
        <x:v>13</x:v>
      </x:c>
      <x:c r="D14" s="47" t="str">
        <x:v>Custom</x:v>
      </x:c>
      <x:c r="E14" s="100" t="str">
        <x:v>2,3,4,5,6,8,9,10,11,12,13</x:v>
      </x:c>
      <x:c r="F14" s="47" t="str">
        <x:v>Flexible</x:v>
      </x:c>
      <x:c r="G14" s="47"/>
      <x:c r="H14" s="47"/>
      <x:c r="I14" s="47"/>
      <x:c r="J14" s="47"/>
      <x:c r="K14" s="47"/>
      <x:c r="L14" s="47" t="str">
        <x:v>Normal</x:v>
      </x:c>
      <x:c r="M14" s="47" t="str">
        <x:v>No</x:v>
      </x:c>
      <x:c r="N14" s="100"/>
      <x:c r="O14" s="100"/>
      <x:c r="P14" s="100"/>
      <x:c r="Q14" s="100"/>
      <x:c r="R14" s="159"/>
    </x:row>
    <x:row r="15" ht="22" customHeight="1">
      <x:c r="A15" s="56" t="str">
        <x:v>REQ-ASE-ASE1101-QZ-03</x:v>
      </x:c>
      <x:c r="B15" s="107" t="n">
        <x:v>13</x:v>
      </x:c>
      <x:c r="C15" s="107" t="n">
        <x:v>13</x:v>
      </x:c>
      <x:c r="D15" s="13" t="str">
        <x:v>Custom</x:v>
      </x:c>
      <x:c r="E15" s="90" t="str">
        <x:v>13</x:v>
      </x:c>
      <x:c r="F15" s="13" t="str">
        <x:v>Flexible</x:v>
      </x:c>
      <x:c r="G15" s="13"/>
      <x:c r="H15" s="13"/>
      <x:c r="I15" s="13"/>
      <x:c r="J15" s="13"/>
      <x:c r="K15" s="13"/>
      <x:c r="L15" s="13" t="str">
        <x:v>Normal</x:v>
      </x:c>
      <x:c r="M15" s="13" t="str">
        <x:v>No</x:v>
      </x:c>
      <x:c r="N15" s="90"/>
      <x:c r="O15" s="90"/>
      <x:c r="P15" s="90"/>
      <x:c r="Q15" s="90"/>
      <x:c r="R15" s="149"/>
    </x:row>
    <x:row r="16" ht="22" customHeight="1">
      <x:c r="A16" s="57" t="str">
        <x:v>REQ-ASE-ASE1201-LEC-01</x:v>
      </x:c>
      <x:c r="B16" s="108" t="n">
        <x:v>1</x:v>
      </x:c>
      <x:c r="C16" s="108" t="n">
        <x:v>5</x:v>
      </x:c>
      <x:c r="D16" s="17" t="str">
        <x:v>Custom</x:v>
      </x:c>
      <x:c r="E16" s="91" t="str">
        <x:v>1,2,3,4,5</x:v>
      </x:c>
      <x:c r="F16" s="17" t="str">
        <x:v>Flexible</x:v>
      </x:c>
      <x:c r="G16" s="17"/>
      <x:c r="H16" s="17"/>
      <x:c r="I16" s="17"/>
      <x:c r="J16" s="17"/>
      <x:c r="K16" s="17"/>
      <x:c r="L16" s="17" t="str">
        <x:v>Normal</x:v>
      </x:c>
      <x:c r="M16" s="17" t="str">
        <x:v>No</x:v>
      </x:c>
      <x:c r="N16" s="91"/>
      <x:c r="O16" s="91"/>
      <x:c r="P16" s="91"/>
      <x:c r="Q16" s="91"/>
      <x:c r="R16" s="150"/>
    </x:row>
    <x:row r="17" ht="22" customHeight="1">
      <x:c r="A17" s="58" t="str">
        <x:v>REQ-ASE-ASE1201-TUT-02</x:v>
      </x:c>
      <x:c r="B17" s="109" t="n">
        <x:v>1</x:v>
      </x:c>
      <x:c r="C17" s="109" t="n">
        <x:v>5</x:v>
      </x:c>
      <x:c r="D17" s="20" t="str">
        <x:v>Custom</x:v>
      </x:c>
      <x:c r="E17" s="92" t="str">
        <x:v>1,2,3,4,5</x:v>
      </x:c>
      <x:c r="F17" s="20" t="str">
        <x:v>Flexible</x:v>
      </x:c>
      <x:c r="G17" s="20"/>
      <x:c r="H17" s="20"/>
      <x:c r="I17" s="20"/>
      <x:c r="J17" s="20"/>
      <x:c r="K17" s="20"/>
      <x:c r="L17" s="20" t="str">
        <x:v>Normal</x:v>
      </x:c>
      <x:c r="M17" s="20" t="str">
        <x:v>No</x:v>
      </x:c>
      <x:c r="N17" s="92"/>
      <x:c r="O17" s="92"/>
      <x:c r="P17" s="92"/>
      <x:c r="Q17" s="92"/>
      <x:c r="R17" s="151"/>
    </x:row>
    <x:row r="18" ht="22" customHeight="1">
      <x:c r="A18" s="59" t="str">
        <x:v>REQ-ASE-ASE1202-LEC-01</x:v>
      </x:c>
      <x:c r="B18" s="110" t="n">
        <x:v>1</x:v>
      </x:c>
      <x:c r="C18" s="110" t="n">
        <x:v>13</x:v>
      </x:c>
      <x:c r="D18" s="24" t="str">
        <x:v>Custom</x:v>
      </x:c>
      <x:c r="E18" s="93" t="str">
        <x:v>1,2,3,4,5,6,8,9,10,11,12,13</x:v>
      </x:c>
      <x:c r="F18" s="24" t="str">
        <x:v>Flexible</x:v>
      </x:c>
      <x:c r="G18" s="24"/>
      <x:c r="H18" s="24"/>
      <x:c r="I18" s="24"/>
      <x:c r="J18" s="24"/>
      <x:c r="K18" s="24"/>
      <x:c r="L18" s="24" t="str">
        <x:v>Normal</x:v>
      </x:c>
      <x:c r="M18" s="24" t="str">
        <x:v>No</x:v>
      </x:c>
      <x:c r="N18" s="93"/>
      <x:c r="O18" s="93"/>
      <x:c r="P18" s="93"/>
      <x:c r="Q18" s="93"/>
      <x:c r="R18" s="152"/>
    </x:row>
    <x:row r="19" ht="22" customHeight="1">
      <x:c r="A19" s="61" t="str">
        <x:v>REQ-ASE-ASE1202-TUT-02</x:v>
      </x:c>
      <x:c r="B19" s="112" t="n">
        <x:v>1</x:v>
      </x:c>
      <x:c r="C19" s="112" t="n">
        <x:v>13</x:v>
      </x:c>
      <x:c r="D19" s="30" t="str">
        <x:v>Custom</x:v>
      </x:c>
      <x:c r="E19" s="95" t="str">
        <x:v>1,2,3,4,5,6,8,9,10,11,12,13</x:v>
      </x:c>
      <x:c r="F19" s="30" t="str">
        <x:v>Flexible</x:v>
      </x:c>
      <x:c r="G19" s="30"/>
      <x:c r="H19" s="30"/>
      <x:c r="I19" s="30"/>
      <x:c r="J19" s="30"/>
      <x:c r="K19" s="30"/>
      <x:c r="L19" s="30" t="str">
        <x:v>Normal</x:v>
      </x:c>
      <x:c r="M19" s="30" t="str">
        <x:v>No</x:v>
      </x:c>
      <x:c r="N19" s="95"/>
      <x:c r="O19" s="95"/>
      <x:c r="P19" s="95"/>
      <x:c r="Q19" s="95"/>
      <x:c r="R19" s="154"/>
    </x:row>
    <x:row r="20" ht="22" customHeight="1">
      <x:c r="A20" s="62" t="str">
        <x:v>REQ-ASE-ASE2210-LEC-01</x:v>
      </x:c>
      <x:c r="B20" s="113" t="n">
        <x:v>1</x:v>
      </x:c>
      <x:c r="C20" s="113" t="n">
        <x:v>13</x:v>
      </x:c>
      <x:c r="D20" s="34" t="str">
        <x:v>Custom</x:v>
      </x:c>
      <x:c r="E20" s="96" t="str">
        <x:v>1,2,3,4,5,6,8,9,10,11,12,13</x:v>
      </x:c>
      <x:c r="F20" s="34" t="str">
        <x:v>Flexible</x:v>
      </x:c>
      <x:c r="G20" s="34"/>
      <x:c r="H20" s="34"/>
      <x:c r="I20" s="34"/>
      <x:c r="J20" s="34"/>
      <x:c r="K20" s="34"/>
      <x:c r="L20" s="34" t="str">
        <x:v>Normal</x:v>
      </x:c>
      <x:c r="M20" s="34" t="str">
        <x:v>No</x:v>
      </x:c>
      <x:c r="N20" s="96"/>
      <x:c r="O20" s="96"/>
      <x:c r="P20" s="96"/>
      <x:c r="Q20" s="96"/>
      <x:c r="R20" s="155"/>
    </x:row>
    <x:row r="21" ht="22" customHeight="1">
      <x:c r="A21" s="63" t="str">
        <x:v>REQ-ASE-ASE2210-TUT-02</x:v>
      </x:c>
      <x:c r="B21" s="114" t="n">
        <x:v>1</x:v>
      </x:c>
      <x:c r="C21" s="114" t="n">
        <x:v>12</x:v>
      </x:c>
      <x:c r="D21" s="37" t="str">
        <x:v>Custom</x:v>
      </x:c>
      <x:c r="E21" s="97" t="str">
        <x:v>1,2,3,4,5,6,8,9,10,11,12</x:v>
      </x:c>
      <x:c r="F21" s="37" t="str">
        <x:v>Flexible</x:v>
      </x:c>
      <x:c r="G21" s="37"/>
      <x:c r="H21" s="37"/>
      <x:c r="I21" s="37"/>
      <x:c r="J21" s="37"/>
      <x:c r="K21" s="37"/>
      <x:c r="L21" s="37" t="str">
        <x:v>Normal</x:v>
      </x:c>
      <x:c r="M21" s="37" t="str">
        <x:v>No</x:v>
      </x:c>
      <x:c r="N21" s="97"/>
      <x:c r="O21" s="97"/>
      <x:c r="P21" s="97"/>
      <x:c r="Q21" s="97"/>
      <x:c r="R21" s="156"/>
    </x:row>
    <x:row r="22" ht="22" customHeight="1">
      <x:c r="A22" s="64" t="str">
        <x:v>REQ-ASE-ASE3106-LEC-01</x:v>
      </x:c>
      <x:c r="B22" s="115" t="n">
        <x:v>1</x:v>
      </x:c>
      <x:c r="C22" s="115" t="n">
        <x:v>13</x:v>
      </x:c>
      <x:c r="D22" s="41" t="str">
        <x:v>Custom</x:v>
      </x:c>
      <x:c r="E22" s="98" t="str">
        <x:v>1,2,3,4,5,6,8,9,10,11,12,13</x:v>
      </x:c>
      <x:c r="F22" s="41" t="str">
        <x:v>Flexible</x:v>
      </x:c>
      <x:c r="G22" s="41"/>
      <x:c r="H22" s="41"/>
      <x:c r="I22" s="41"/>
      <x:c r="J22" s="41"/>
      <x:c r="K22" s="41"/>
      <x:c r="L22" s="41" t="str">
        <x:v>Normal</x:v>
      </x:c>
      <x:c r="M22" s="41" t="str">
        <x:v>No</x:v>
      </x:c>
      <x:c r="N22" s="98"/>
      <x:c r="O22" s="98"/>
      <x:c r="P22" s="98"/>
      <x:c r="Q22" s="98"/>
      <x:c r="R22" s="157"/>
    </x:row>
    <x:row r="23" ht="22" customHeight="1">
      <x:c r="A23" s="65" t="str">
        <x:v>REQ-ASE-ASE3106-TUT-02</x:v>
      </x:c>
      <x:c r="B23" s="116" t="n">
        <x:v>1</x:v>
      </x:c>
      <x:c r="C23" s="116" t="n">
        <x:v>12</x:v>
      </x:c>
      <x:c r="D23" s="44" t="str">
        <x:v>Custom</x:v>
      </x:c>
      <x:c r="E23" s="99" t="str">
        <x:v>1,2,3,4,5,6,8,9,10,11,12</x:v>
      </x:c>
      <x:c r="F23" s="44" t="str">
        <x:v>Flexible</x:v>
      </x:c>
      <x:c r="G23" s="44"/>
      <x:c r="H23" s="44"/>
      <x:c r="I23" s="44"/>
      <x:c r="J23" s="44"/>
      <x:c r="K23" s="44"/>
      <x:c r="L23" s="44" t="str">
        <x:v>Normal</x:v>
      </x:c>
      <x:c r="M23" s="44" t="str">
        <x:v>No</x:v>
      </x:c>
      <x:c r="N23" s="99"/>
      <x:c r="O23" s="99"/>
      <x:c r="P23" s="99"/>
      <x:c r="Q23" s="99"/>
      <x:c r="R23" s="158"/>
    </x:row>
    <x:row r="24" ht="22" customHeight="1">
      <x:c r="A24" s="55" t="str">
        <x:v>REQ-ATM-ATM1104-LEC-01</x:v>
      </x:c>
      <x:c r="B24" s="106" t="n">
        <x:v>1</x:v>
      </x:c>
      <x:c r="C24" s="106" t="n">
        <x:v>13</x:v>
      </x:c>
      <x:c r="D24" s="10" t="str">
        <x:v>Custom</x:v>
      </x:c>
      <x:c r="E24" s="89" t="str">
        <x:v>1,2,3,4,5,6,8,9,10,11,12,13</x:v>
      </x:c>
      <x:c r="F24" s="10" t="str">
        <x:v>Flexible</x:v>
      </x:c>
      <x:c r="G24" s="10"/>
      <x:c r="H24" s="10"/>
      <x:c r="I24" s="10"/>
      <x:c r="J24" s="10"/>
      <x:c r="K24" s="10"/>
      <x:c r="L24" s="10" t="str">
        <x:v>Normal</x:v>
      </x:c>
      <x:c r="M24" s="10" t="str">
        <x:v>No</x:v>
      </x:c>
      <x:c r="N24" s="89"/>
      <x:c r="O24" s="89"/>
      <x:c r="P24" s="89"/>
      <x:c r="Q24" s="89"/>
      <x:c r="R24" s="148"/>
    </x:row>
    <x:row r="25" ht="22" customHeight="1">
      <x:c r="A25" s="56" t="str">
        <x:v>REQ-ATM-ATM1104-TUT-02</x:v>
      </x:c>
      <x:c r="B25" s="107" t="n">
        <x:v>1</x:v>
      </x:c>
      <x:c r="C25" s="107" t="n">
        <x:v>12</x:v>
      </x:c>
      <x:c r="D25" s="13" t="str">
        <x:v>Custom</x:v>
      </x:c>
      <x:c r="E25" s="90" t="str">
        <x:v>1,2,3,4,5,6,8,9,10,11,12</x:v>
      </x:c>
      <x:c r="F25" s="13" t="str">
        <x:v>Flexible</x:v>
      </x:c>
      <x:c r="G25" s="13"/>
      <x:c r="H25" s="13"/>
      <x:c r="I25" s="13"/>
      <x:c r="J25" s="13"/>
      <x:c r="K25" s="13"/>
      <x:c r="L25" s="13" t="str">
        <x:v>Normal</x:v>
      </x:c>
      <x:c r="M25" s="13" t="str">
        <x:v>No</x:v>
      </x:c>
      <x:c r="N25" s="90"/>
      <x:c r="O25" s="90"/>
      <x:c r="P25" s="90"/>
      <x:c r="Q25" s="90"/>
      <x:c r="R25" s="149"/>
    </x:row>
    <x:row r="26" ht="22" customHeight="1">
      <x:c r="A26" s="57" t="str">
        <x:v>REQ-ATM-ATM1105-LCT-01</x:v>
      </x:c>
      <x:c r="B26" s="108" t="n">
        <x:v>1</x:v>
      </x:c>
      <x:c r="C26" s="108" t="n">
        <x:v>13</x:v>
      </x:c>
      <x:c r="D26" s="17" t="str">
        <x:v>Custom</x:v>
      </x:c>
      <x:c r="E26" s="91" t="str">
        <x:v>1,2,3,4,5,6,8,9,10,11,12,13</x:v>
      </x:c>
      <x:c r="F26" s="17" t="str">
        <x:v>Flexible</x:v>
      </x:c>
      <x:c r="G26" s="17"/>
      <x:c r="H26" s="17"/>
      <x:c r="I26" s="17"/>
      <x:c r="J26" s="17"/>
      <x:c r="K26" s="17"/>
      <x:c r="L26" s="17" t="str">
        <x:v>Normal</x:v>
      </x:c>
      <x:c r="M26" s="17" t="str">
        <x:v>No</x:v>
      </x:c>
      <x:c r="N26" s="91"/>
      <x:c r="O26" s="91"/>
      <x:c r="P26" s="91"/>
      <x:c r="Q26" s="91"/>
      <x:c r="R26" s="150"/>
    </x:row>
    <x:row r="27" ht="22" customHeight="1">
      <x:c r="A27" s="58" t="str">
        <x:v>REQ-ATM-ATM1105-TUT-02</x:v>
      </x:c>
      <x:c r="B27" s="109" t="n">
        <x:v>1</x:v>
      </x:c>
      <x:c r="C27" s="109" t="n">
        <x:v>12</x:v>
      </x:c>
      <x:c r="D27" s="20" t="str">
        <x:v>Custom</x:v>
      </x:c>
      <x:c r="E27" s="92" t="str">
        <x:v>1,2,3,4,5,6,8,9,10,11,12</x:v>
      </x:c>
      <x:c r="F27" s="20" t="str">
        <x:v>Flexible</x:v>
      </x:c>
      <x:c r="G27" s="20"/>
      <x:c r="H27" s="20"/>
      <x:c r="I27" s="20"/>
      <x:c r="J27" s="20"/>
      <x:c r="K27" s="20"/>
      <x:c r="L27" s="20" t="str">
        <x:v>Normal</x:v>
      </x:c>
      <x:c r="M27" s="20" t="str">
        <x:v>No</x:v>
      </x:c>
      <x:c r="N27" s="92"/>
      <x:c r="O27" s="92"/>
      <x:c r="P27" s="92"/>
      <x:c r="Q27" s="92"/>
      <x:c r="R27" s="151"/>
    </x:row>
    <x:row r="28" ht="22" customHeight="1">
      <x:c r="A28" s="59" t="str">
        <x:v>REQ-ATM-ATM1106-LEC-01</x:v>
      </x:c>
      <x:c r="B28" s="110" t="n">
        <x:v>1</x:v>
      </x:c>
      <x:c r="C28" s="110" t="n">
        <x:v>13</x:v>
      </x:c>
      <x:c r="D28" s="24" t="str">
        <x:v>Custom</x:v>
      </x:c>
      <x:c r="E28" s="93" t="str">
        <x:v>1,2,3,4,5,6,8,9,10,11,12,13</x:v>
      </x:c>
      <x:c r="F28" s="24" t="str">
        <x:v>Flexible</x:v>
      </x:c>
      <x:c r="G28" s="24"/>
      <x:c r="H28" s="24"/>
      <x:c r="I28" s="24"/>
      <x:c r="J28" s="24"/>
      <x:c r="K28" s="24"/>
      <x:c r="L28" s="24" t="str">
        <x:v>Normal</x:v>
      </x:c>
      <x:c r="M28" s="24" t="str">
        <x:v>No</x:v>
      </x:c>
      <x:c r="N28" s="93"/>
      <x:c r="O28" s="93"/>
      <x:c r="P28" s="93"/>
      <x:c r="Q28" s="93"/>
      <x:c r="R28" s="152"/>
    </x:row>
    <x:row r="29" ht="22" customHeight="1">
      <x:c r="A29" s="60" t="str">
        <x:v>REQ-ATM-ATM1106-TUT-02</x:v>
      </x:c>
      <x:c r="B29" s="111" t="n">
        <x:v>1</x:v>
      </x:c>
      <x:c r="C29" s="111" t="n">
        <x:v>12</x:v>
      </x:c>
      <x:c r="D29" s="27" t="str">
        <x:v>Custom</x:v>
      </x:c>
      <x:c r="E29" s="94" t="str">
        <x:v>1,2,3,4,5,6,8,9,10,11,12</x:v>
      </x:c>
      <x:c r="F29" s="27" t="str">
        <x:v>Flexible</x:v>
      </x:c>
      <x:c r="G29" s="27"/>
      <x:c r="H29" s="27"/>
      <x:c r="I29" s="27"/>
      <x:c r="J29" s="27"/>
      <x:c r="K29" s="27"/>
      <x:c r="L29" s="27" t="str">
        <x:v>Normal</x:v>
      </x:c>
      <x:c r="M29" s="27" t="str">
        <x:v>No</x:v>
      </x:c>
      <x:c r="N29" s="94"/>
      <x:c r="O29" s="94"/>
      <x:c r="P29" s="94"/>
      <x:c r="Q29" s="94"/>
      <x:c r="R29" s="153"/>
    </x:row>
    <x:row r="30" ht="22" customHeight="1">
      <x:c r="A30" s="61" t="str">
        <x:v>REQ-ATM-ATM1106-QZ-03</x:v>
      </x:c>
      <x:c r="B30" s="112" t="n">
        <x:v>6</x:v>
      </x:c>
      <x:c r="C30" s="112" t="n">
        <x:v>6</x:v>
      </x:c>
      <x:c r="D30" s="30" t="str">
        <x:v>Custom</x:v>
      </x:c>
      <x:c r="E30" s="95" t="str">
        <x:v>6</x:v>
      </x:c>
      <x:c r="F30" s="30" t="str">
        <x:v>Flexible</x:v>
      </x:c>
      <x:c r="G30" s="30"/>
      <x:c r="H30" s="30"/>
      <x:c r="I30" s="30"/>
      <x:c r="J30" s="30"/>
      <x:c r="K30" s="30"/>
      <x:c r="L30" s="30" t="str">
        <x:v>Normal</x:v>
      </x:c>
      <x:c r="M30" s="30" t="str">
        <x:v>No</x:v>
      </x:c>
      <x:c r="N30" s="95"/>
      <x:c r="O30" s="95"/>
      <x:c r="P30" s="95"/>
      <x:c r="Q30" s="95"/>
      <x:c r="R30" s="154"/>
    </x:row>
    <x:row r="31" ht="22" customHeight="1">
      <x:c r="A31" s="62" t="str">
        <x:v>REQ-ATM-ATM3301-WKS-01</x:v>
      </x:c>
      <x:c r="B31" s="113" t="n">
        <x:v>1</x:v>
      </x:c>
      <x:c r="C31" s="113" t="n">
        <x:v>13</x:v>
      </x:c>
      <x:c r="D31" s="34" t="str">
        <x:v>Custom</x:v>
      </x:c>
      <x:c r="E31" s="96" t="str">
        <x:v>1,2,3,4,5,6,8,9,10,11,12,13</x:v>
      </x:c>
      <x:c r="F31" s="34" t="str">
        <x:v>Flexible</x:v>
      </x:c>
      <x:c r="G31" s="34"/>
      <x:c r="H31" s="34"/>
      <x:c r="I31" s="34"/>
      <x:c r="J31" s="34"/>
      <x:c r="K31" s="34"/>
      <x:c r="L31" s="34" t="str">
        <x:v>Normal</x:v>
      </x:c>
      <x:c r="M31" s="34" t="str">
        <x:v>No</x:v>
      </x:c>
      <x:c r="N31" s="96"/>
      <x:c r="O31" s="96"/>
      <x:c r="P31" s="96"/>
      <x:c r="Q31" s="96"/>
      <x:c r="R31" s="155"/>
    </x:row>
    <x:row r="32" ht="22" customHeight="1">
      <x:c r="A32" s="63" t="str">
        <x:v>REQ-ATM-ATM3301-SEM-02</x:v>
      </x:c>
      <x:c r="B32" s="114" t="n">
        <x:v>1</x:v>
      </x:c>
      <x:c r="C32" s="114" t="n">
        <x:v>12</x:v>
      </x:c>
      <x:c r="D32" s="37" t="str">
        <x:v>Custom</x:v>
      </x:c>
      <x:c r="E32" s="97" t="str">
        <x:v>1,2,3,4,5,6,8,9,10,11,12</x:v>
      </x:c>
      <x:c r="F32" s="37" t="str">
        <x:v>Flexible</x:v>
      </x:c>
      <x:c r="G32" s="37"/>
      <x:c r="H32" s="37"/>
      <x:c r="I32" s="37"/>
      <x:c r="J32" s="37"/>
      <x:c r="K32" s="37"/>
      <x:c r="L32" s="37" t="str">
        <x:v>Normal</x:v>
      </x:c>
      <x:c r="M32" s="37" t="str">
        <x:v>No</x:v>
      </x:c>
      <x:c r="N32" s="97"/>
      <x:c r="O32" s="97"/>
      <x:c r="P32" s="97"/>
      <x:c r="Q32" s="97"/>
      <x:c r="R32" s="156"/>
    </x:row>
    <x:row r="33" ht="22" customHeight="1">
      <x:c r="A33" s="64" t="str">
        <x:v>REQ-ATM-ATM3302-LEC-01</x:v>
      </x:c>
      <x:c r="B33" s="115" t="n">
        <x:v>1</x:v>
      </x:c>
      <x:c r="C33" s="115" t="n">
        <x:v>13</x:v>
      </x:c>
      <x:c r="D33" s="41" t="str">
        <x:v>Custom</x:v>
      </x:c>
      <x:c r="E33" s="98" t="str">
        <x:v>1,2,3,4,5,6,8,9,10,11,12,13</x:v>
      </x:c>
      <x:c r="F33" s="41" t="str">
        <x:v>Flexible</x:v>
      </x:c>
      <x:c r="G33" s="41"/>
      <x:c r="H33" s="41"/>
      <x:c r="I33" s="41"/>
      <x:c r="J33" s="41"/>
      <x:c r="K33" s="41"/>
      <x:c r="L33" s="41" t="str">
        <x:v>Normal</x:v>
      </x:c>
      <x:c r="M33" s="41" t="str">
        <x:v>No</x:v>
      </x:c>
      <x:c r="N33" s="98"/>
      <x:c r="O33" s="98"/>
      <x:c r="P33" s="98"/>
      <x:c r="Q33" s="98"/>
      <x:c r="R33" s="157"/>
    </x:row>
    <x:row r="34" ht="22" customHeight="1">
      <x:c r="A34" s="65" t="str">
        <x:v>REQ-ATM-ATM3302-TUT-02</x:v>
      </x:c>
      <x:c r="B34" s="116" t="n">
        <x:v>1</x:v>
      </x:c>
      <x:c r="C34" s="116" t="n">
        <x:v>12</x:v>
      </x:c>
      <x:c r="D34" s="44" t="str">
        <x:v>Custom</x:v>
      </x:c>
      <x:c r="E34" s="99" t="str">
        <x:v>1,2,3,4,5,6,8,9,10,11,12</x:v>
      </x:c>
      <x:c r="F34" s="44" t="str">
        <x:v>Flexible</x:v>
      </x:c>
      <x:c r="G34" s="44"/>
      <x:c r="H34" s="44"/>
      <x:c r="I34" s="44"/>
      <x:c r="J34" s="44"/>
      <x:c r="K34" s="44"/>
      <x:c r="L34" s="44" t="str">
        <x:v>Normal</x:v>
      </x:c>
      <x:c r="M34" s="44" t="str">
        <x:v>No</x:v>
      </x:c>
      <x:c r="N34" s="99"/>
      <x:c r="O34" s="99"/>
      <x:c r="P34" s="99"/>
      <x:c r="Q34" s="99"/>
      <x:c r="R34" s="158"/>
    </x:row>
    <x:row r="35" ht="22" customHeight="1">
      <x:c r="A35" s="55" t="str">
        <x:v>REQ-BAC-BAC2001-LEC-01</x:v>
      </x:c>
      <x:c r="B35" s="106" t="n">
        <x:v>1</x:v>
      </x:c>
      <x:c r="C35" s="106" t="n">
        <x:v>13</x:v>
      </x:c>
      <x:c r="D35" s="10" t="str">
        <x:v>Custom</x:v>
      </x:c>
      <x:c r="E35" s="89" t="str">
        <x:v>1,2,3,4,5,6,8,9,10,11,12,13</x:v>
      </x:c>
      <x:c r="F35" s="10" t="str">
        <x:v>Flexible</x:v>
      </x:c>
      <x:c r="G35" s="10"/>
      <x:c r="H35" s="10"/>
      <x:c r="I35" s="10"/>
      <x:c r="J35" s="10"/>
      <x:c r="K35" s="10"/>
      <x:c r="L35" s="10" t="str">
        <x:v>Normal</x:v>
      </x:c>
      <x:c r="M35" s="10" t="str">
        <x:v>No</x:v>
      </x:c>
      <x:c r="N35" s="89"/>
      <x:c r="O35" s="89"/>
      <x:c r="P35" s="89"/>
      <x:c r="Q35" s="89"/>
      <x:c r="R35" s="148"/>
    </x:row>
    <x:row r="36" ht="22" customHeight="1">
      <x:c r="A36" s="56" t="str">
        <x:v>REQ-BAC-BAC2001-TUT-02</x:v>
      </x:c>
      <x:c r="B36" s="107" t="n">
        <x:v>1</x:v>
      </x:c>
      <x:c r="C36" s="107" t="n">
        <x:v>12</x:v>
      </x:c>
      <x:c r="D36" s="13" t="str">
        <x:v>Custom</x:v>
      </x:c>
      <x:c r="E36" s="90" t="str">
        <x:v>1,2,3,4,5,6,8,9,10,11,12</x:v>
      </x:c>
      <x:c r="F36" s="13" t="str">
        <x:v>Flexible</x:v>
      </x:c>
      <x:c r="G36" s="13"/>
      <x:c r="H36" s="13"/>
      <x:c r="I36" s="13"/>
      <x:c r="J36" s="13"/>
      <x:c r="K36" s="13"/>
      <x:c r="L36" s="13" t="str">
        <x:v>Normal</x:v>
      </x:c>
      <x:c r="M36" s="13" t="str">
        <x:v>No</x:v>
      </x:c>
      <x:c r="N36" s="90"/>
      <x:c r="O36" s="90"/>
      <x:c r="P36" s="90"/>
      <x:c r="Q36" s="90"/>
      <x:c r="R36" s="149"/>
    </x:row>
    <x:row r="37" ht="22" customHeight="1">
      <x:c r="A37" s="57" t="str">
        <x:v>REQ-BAC-BAC2002-LCT-01</x:v>
      </x:c>
      <x:c r="B37" s="108" t="n">
        <x:v>1</x:v>
      </x:c>
      <x:c r="C37" s="108" t="n">
        <x:v>13</x:v>
      </x:c>
      <x:c r="D37" s="17" t="str">
        <x:v>Custom</x:v>
      </x:c>
      <x:c r="E37" s="91" t="str">
        <x:v>1,2,3,4,5,6,8,9,10,11,12,13</x:v>
      </x:c>
      <x:c r="F37" s="17" t="str">
        <x:v>Flexible</x:v>
      </x:c>
      <x:c r="G37" s="17"/>
      <x:c r="H37" s="17"/>
      <x:c r="I37" s="17"/>
      <x:c r="J37" s="17"/>
      <x:c r="K37" s="17"/>
      <x:c r="L37" s="17" t="str">
        <x:v>Normal</x:v>
      </x:c>
      <x:c r="M37" s="17" t="str">
        <x:v>No</x:v>
      </x:c>
      <x:c r="N37" s="91"/>
      <x:c r="O37" s="91"/>
      <x:c r="P37" s="91"/>
      <x:c r="Q37" s="91"/>
      <x:c r="R37" s="150"/>
    </x:row>
    <x:row r="38" ht="22" customHeight="1">
      <x:c r="A38" s="58" t="str">
        <x:v>REQ-BAC-BAC2002-TUT-02</x:v>
      </x:c>
      <x:c r="B38" s="109" t="n">
        <x:v>1</x:v>
      </x:c>
      <x:c r="C38" s="109" t="n">
        <x:v>12</x:v>
      </x:c>
      <x:c r="D38" s="20" t="str">
        <x:v>Custom</x:v>
      </x:c>
      <x:c r="E38" s="92" t="str">
        <x:v>1,2,3,4,5,6,8,9,10,11,12</x:v>
      </x:c>
      <x:c r="F38" s="20" t="str">
        <x:v>Flexible</x:v>
      </x:c>
      <x:c r="G38" s="20"/>
      <x:c r="H38" s="20"/>
      <x:c r="I38" s="20"/>
      <x:c r="J38" s="20"/>
      <x:c r="K38" s="20"/>
      <x:c r="L38" s="20" t="str">
        <x:v>Normal</x:v>
      </x:c>
      <x:c r="M38" s="20" t="str">
        <x:v>No</x:v>
      </x:c>
      <x:c r="N38" s="92"/>
      <x:c r="O38" s="92"/>
      <x:c r="P38" s="92"/>
      <x:c r="Q38" s="92"/>
      <x:c r="R38" s="151"/>
    </x:row>
    <x:row r="39" ht="22" customHeight="1">
      <x:c r="A39" s="59" t="str">
        <x:v>REQ-BAC-BAC2005-LEC-01</x:v>
      </x:c>
      <x:c r="B39" s="110" t="n">
        <x:v>1</x:v>
      </x:c>
      <x:c r="C39" s="110" t="n">
        <x:v>13</x:v>
      </x:c>
      <x:c r="D39" s="24" t="str">
        <x:v>Custom</x:v>
      </x:c>
      <x:c r="E39" s="93" t="str">
        <x:v>1,2,3,4,5,6,8,9,10,11,12,13</x:v>
      </x:c>
      <x:c r="F39" s="24" t="str">
        <x:v>Flexible</x:v>
      </x:c>
      <x:c r="G39" s="24"/>
      <x:c r="H39" s="24"/>
      <x:c r="I39" s="24"/>
      <x:c r="J39" s="24"/>
      <x:c r="K39" s="24"/>
      <x:c r="L39" s="24" t="str">
        <x:v>Normal</x:v>
      </x:c>
      <x:c r="M39" s="24" t="str">
        <x:v>No</x:v>
      </x:c>
      <x:c r="N39" s="93"/>
      <x:c r="O39" s="93"/>
      <x:c r="P39" s="93"/>
      <x:c r="Q39" s="93"/>
      <x:c r="R39" s="152"/>
    </x:row>
    <x:row r="40" ht="22" customHeight="1">
      <x:c r="A40" s="60" t="str">
        <x:v>REQ-BAC-BAC2005-TUT-02</x:v>
      </x:c>
      <x:c r="B40" s="111" t="n">
        <x:v>1</x:v>
      </x:c>
      <x:c r="C40" s="111" t="n">
        <x:v>12</x:v>
      </x:c>
      <x:c r="D40" s="27" t="str">
        <x:v>Custom</x:v>
      </x:c>
      <x:c r="E40" s="94" t="str">
        <x:v>1,2,3,4,5,6,8,9,10,11,12</x:v>
      </x:c>
      <x:c r="F40" s="27" t="str">
        <x:v>Flexible</x:v>
      </x:c>
      <x:c r="G40" s="27"/>
      <x:c r="H40" s="27"/>
      <x:c r="I40" s="27"/>
      <x:c r="J40" s="27"/>
      <x:c r="K40" s="27"/>
      <x:c r="L40" s="27" t="str">
        <x:v>Normal</x:v>
      </x:c>
      <x:c r="M40" s="27" t="str">
        <x:v>No</x:v>
      </x:c>
      <x:c r="N40" s="94"/>
      <x:c r="O40" s="94"/>
      <x:c r="P40" s="94"/>
      <x:c r="Q40" s="94"/>
      <x:c r="R40" s="153"/>
    </x:row>
    <x:row r="41" ht="22" customHeight="1">
      <x:c r="A41" s="61" t="str">
        <x:v>REQ-BAC-BAC2005-QZ-03</x:v>
      </x:c>
      <x:c r="B41" s="112" t="n">
        <x:v>6</x:v>
      </x:c>
      <x:c r="C41" s="112" t="n">
        <x:v>6</x:v>
      </x:c>
      <x:c r="D41" s="30" t="str">
        <x:v>Custom</x:v>
      </x:c>
      <x:c r="E41" s="95" t="str">
        <x:v>6</x:v>
      </x:c>
      <x:c r="F41" s="30" t="str">
        <x:v>Flexible</x:v>
      </x:c>
      <x:c r="G41" s="30"/>
      <x:c r="H41" s="30"/>
      <x:c r="I41" s="30"/>
      <x:c r="J41" s="30"/>
      <x:c r="K41" s="30"/>
      <x:c r="L41" s="30" t="str">
        <x:v>Normal</x:v>
      </x:c>
      <x:c r="M41" s="30" t="str">
        <x:v>No</x:v>
      </x:c>
      <x:c r="N41" s="95"/>
      <x:c r="O41" s="95"/>
      <x:c r="P41" s="95"/>
      <x:c r="Q41" s="95"/>
      <x:c r="R41" s="154"/>
    </x:row>
    <x:row r="42" ht="22" customHeight="1">
      <x:c r="A42" s="62" t="str">
        <x:v>REQ-BAC-BAC3003A-WKS-01</x:v>
      </x:c>
      <x:c r="B42" s="113" t="n">
        <x:v>1</x:v>
      </x:c>
      <x:c r="C42" s="113" t="n">
        <x:v>13</x:v>
      </x:c>
      <x:c r="D42" s="34" t="str">
        <x:v>Custom</x:v>
      </x:c>
      <x:c r="E42" s="96" t="str">
        <x:v>1,2,3,4,5,6,8,9,10,11,12,13</x:v>
      </x:c>
      <x:c r="F42" s="34" t="str">
        <x:v>Flexible</x:v>
      </x:c>
      <x:c r="G42" s="34"/>
      <x:c r="H42" s="34"/>
      <x:c r="I42" s="34"/>
      <x:c r="J42" s="34"/>
      <x:c r="K42" s="34"/>
      <x:c r="L42" s="34" t="str">
        <x:v>Normal</x:v>
      </x:c>
      <x:c r="M42" s="34" t="str">
        <x:v>No</x:v>
      </x:c>
      <x:c r="N42" s="96"/>
      <x:c r="O42" s="96"/>
      <x:c r="P42" s="96"/>
      <x:c r="Q42" s="96"/>
      <x:c r="R42" s="155"/>
    </x:row>
    <x:row r="43" ht="22" customHeight="1">
      <x:c r="A43" s="63" t="str">
        <x:v>REQ-BAC-BAC3003A-SEM-02</x:v>
      </x:c>
      <x:c r="B43" s="114" t="n">
        <x:v>1</x:v>
      </x:c>
      <x:c r="C43" s="114" t="n">
        <x:v>12</x:v>
      </x:c>
      <x:c r="D43" s="37" t="str">
        <x:v>Custom</x:v>
      </x:c>
      <x:c r="E43" s="97" t="str">
        <x:v>1,2,3,4,5,6,8,9,10,11,12</x:v>
      </x:c>
      <x:c r="F43" s="37" t="str">
        <x:v>Flexible</x:v>
      </x:c>
      <x:c r="G43" s="37"/>
      <x:c r="H43" s="37"/>
      <x:c r="I43" s="37"/>
      <x:c r="J43" s="37"/>
      <x:c r="K43" s="37"/>
      <x:c r="L43" s="37" t="str">
        <x:v>Normal</x:v>
      </x:c>
      <x:c r="M43" s="37" t="str">
        <x:v>No</x:v>
      </x:c>
      <x:c r="N43" s="97"/>
      <x:c r="O43" s="97"/>
      <x:c r="P43" s="97"/>
      <x:c r="Q43" s="97"/>
      <x:c r="R43" s="156"/>
    </x:row>
    <x:row r="44" ht="22" customHeight="1">
      <x:c r="A44" s="64" t="str">
        <x:v>REQ-BAC-BAC3004-LEC-01</x:v>
      </x:c>
      <x:c r="B44" s="115" t="n">
        <x:v>1</x:v>
      </x:c>
      <x:c r="C44" s="115" t="n">
        <x:v>13</x:v>
      </x:c>
      <x:c r="D44" s="41" t="str">
        <x:v>Custom</x:v>
      </x:c>
      <x:c r="E44" s="98" t="str">
        <x:v>1,2,3,4,5,6,8,9,10,11,12,13</x:v>
      </x:c>
      <x:c r="F44" s="41" t="str">
        <x:v>Flexible</x:v>
      </x:c>
      <x:c r="G44" s="41"/>
      <x:c r="H44" s="41"/>
      <x:c r="I44" s="41"/>
      <x:c r="J44" s="41"/>
      <x:c r="K44" s="41"/>
      <x:c r="L44" s="41" t="str">
        <x:v>Normal</x:v>
      </x:c>
      <x:c r="M44" s="41" t="str">
        <x:v>No</x:v>
      </x:c>
      <x:c r="N44" s="98"/>
      <x:c r="O44" s="98"/>
      <x:c r="P44" s="98"/>
      <x:c r="Q44" s="98"/>
      <x:c r="R44" s="157"/>
    </x:row>
    <x:row r="45" ht="22" customHeight="1">
      <x:c r="A45" s="65" t="str">
        <x:v>REQ-BAC-BAC3004-TUT-02</x:v>
      </x:c>
      <x:c r="B45" s="116" t="n">
        <x:v>1</x:v>
      </x:c>
      <x:c r="C45" s="116" t="n">
        <x:v>12</x:v>
      </x:c>
      <x:c r="D45" s="44" t="str">
        <x:v>Custom</x:v>
      </x:c>
      <x:c r="E45" s="99" t="str">
        <x:v>1,2,3,4,5,6,8,9,10,11,12</x:v>
      </x:c>
      <x:c r="F45" s="44" t="str">
        <x:v>Flexible</x:v>
      </x:c>
      <x:c r="G45" s="44"/>
      <x:c r="H45" s="44"/>
      <x:c r="I45" s="44"/>
      <x:c r="J45" s="44"/>
      <x:c r="K45" s="44"/>
      <x:c r="L45" s="44" t="str">
        <x:v>Normal</x:v>
      </x:c>
      <x:c r="M45" s="44" t="str">
        <x:v>No</x:v>
      </x:c>
      <x:c r="N45" s="99"/>
      <x:c r="O45" s="99"/>
      <x:c r="P45" s="99"/>
      <x:c r="Q45" s="99"/>
      <x:c r="R45" s="158"/>
    </x:row>
    <x:row r="46" ht="22" customHeight="1">
      <x:c r="A46" s="55" t="str">
        <x:v>REQ-CDM-DCM1011-LEC-01</x:v>
      </x:c>
      <x:c r="B46" s="106" t="n">
        <x:v>1</x:v>
      </x:c>
      <x:c r="C46" s="106" t="n">
        <x:v>13</x:v>
      </x:c>
      <x:c r="D46" s="10" t="str">
        <x:v>Custom</x:v>
      </x:c>
      <x:c r="E46" s="89" t="str">
        <x:v>1,2,3,4,5,6,8,9,10,11,12,13</x:v>
      </x:c>
      <x:c r="F46" s="10" t="str">
        <x:v>Flexible</x:v>
      </x:c>
      <x:c r="G46" s="10"/>
      <x:c r="H46" s="10"/>
      <x:c r="I46" s="10"/>
      <x:c r="J46" s="10"/>
      <x:c r="K46" s="10"/>
      <x:c r="L46" s="10" t="str">
        <x:v>Normal</x:v>
      </x:c>
      <x:c r="M46" s="10" t="str">
        <x:v>No</x:v>
      </x:c>
      <x:c r="N46" s="89"/>
      <x:c r="O46" s="89"/>
      <x:c r="P46" s="89"/>
      <x:c r="Q46" s="89"/>
      <x:c r="R46" s="148"/>
    </x:row>
    <x:row r="47" ht="22" customHeight="1">
      <x:c r="A47" s="56" t="str">
        <x:v>REQ-CDM-DCM1011-TUT-02</x:v>
      </x:c>
      <x:c r="B47" s="107" t="n">
        <x:v>1</x:v>
      </x:c>
      <x:c r="C47" s="107" t="n">
        <x:v>12</x:v>
      </x:c>
      <x:c r="D47" s="13" t="str">
        <x:v>Custom</x:v>
      </x:c>
      <x:c r="E47" s="90" t="str">
        <x:v>1,2,3,4,5,6,8,9,10,11,12</x:v>
      </x:c>
      <x:c r="F47" s="13" t="str">
        <x:v>Flexible</x:v>
      </x:c>
      <x:c r="G47" s="13"/>
      <x:c r="H47" s="13"/>
      <x:c r="I47" s="13"/>
      <x:c r="J47" s="13"/>
      <x:c r="K47" s="13"/>
      <x:c r="L47" s="13" t="str">
        <x:v>Normal</x:v>
      </x:c>
      <x:c r="M47" s="13" t="str">
        <x:v>No</x:v>
      </x:c>
      <x:c r="N47" s="90"/>
      <x:c r="O47" s="90"/>
      <x:c r="P47" s="90"/>
      <x:c r="Q47" s="90"/>
      <x:c r="R47" s="149"/>
    </x:row>
    <x:row r="48" ht="22" customHeight="1">
      <x:c r="A48" s="57" t="str">
        <x:v>REQ-CDM-DCM1021-LCT-01</x:v>
      </x:c>
      <x:c r="B48" s="108" t="n">
        <x:v>1</x:v>
      </x:c>
      <x:c r="C48" s="108" t="n">
        <x:v>13</x:v>
      </x:c>
      <x:c r="D48" s="17" t="str">
        <x:v>Custom</x:v>
      </x:c>
      <x:c r="E48" s="91" t="str">
        <x:v>1,2,3,4,5,6,8,9,10,11,12,13</x:v>
      </x:c>
      <x:c r="F48" s="17" t="str">
        <x:v>Flexible</x:v>
      </x:c>
      <x:c r="G48" s="17"/>
      <x:c r="H48" s="17"/>
      <x:c r="I48" s="17"/>
      <x:c r="J48" s="17"/>
      <x:c r="K48" s="17"/>
      <x:c r="L48" s="17" t="str">
        <x:v>Normal</x:v>
      </x:c>
      <x:c r="M48" s="17" t="str">
        <x:v>No</x:v>
      </x:c>
      <x:c r="N48" s="91"/>
      <x:c r="O48" s="91"/>
      <x:c r="P48" s="91"/>
      <x:c r="Q48" s="91"/>
      <x:c r="R48" s="150"/>
    </x:row>
    <x:row r="49" ht="22" customHeight="1">
      <x:c r="A49" s="58" t="str">
        <x:v>REQ-CDM-DCM1021-TUT-02</x:v>
      </x:c>
      <x:c r="B49" s="109" t="n">
        <x:v>1</x:v>
      </x:c>
      <x:c r="C49" s="109" t="n">
        <x:v>12</x:v>
      </x:c>
      <x:c r="D49" s="20" t="str">
        <x:v>Custom</x:v>
      </x:c>
      <x:c r="E49" s="92" t="str">
        <x:v>1,2,3,4,5,6,8,9,10,11,12</x:v>
      </x:c>
      <x:c r="F49" s="20" t="str">
        <x:v>Flexible</x:v>
      </x:c>
      <x:c r="G49" s="20"/>
      <x:c r="H49" s="20"/>
      <x:c r="I49" s="20"/>
      <x:c r="J49" s="20"/>
      <x:c r="K49" s="20"/>
      <x:c r="L49" s="20" t="str">
        <x:v>Normal</x:v>
      </x:c>
      <x:c r="M49" s="20" t="str">
        <x:v>No</x:v>
      </x:c>
      <x:c r="N49" s="92"/>
      <x:c r="O49" s="92"/>
      <x:c r="P49" s="92"/>
      <x:c r="Q49" s="92"/>
      <x:c r="R49" s="151"/>
    </x:row>
    <x:row r="50" ht="22" customHeight="1">
      <x:c r="A50" s="59" t="str">
        <x:v>REQ-CDM-DCM1032-LEC-01</x:v>
      </x:c>
      <x:c r="B50" s="110" t="n">
        <x:v>1</x:v>
      </x:c>
      <x:c r="C50" s="110" t="n">
        <x:v>13</x:v>
      </x:c>
      <x:c r="D50" s="24" t="str">
        <x:v>Custom</x:v>
      </x:c>
      <x:c r="E50" s="93" t="str">
        <x:v>1,2,3,4,5,6,8,9,10,11,12,13</x:v>
      </x:c>
      <x:c r="F50" s="24" t="str">
        <x:v>Flexible</x:v>
      </x:c>
      <x:c r="G50" s="24"/>
      <x:c r="H50" s="24"/>
      <x:c r="I50" s="24"/>
      <x:c r="J50" s="24"/>
      <x:c r="K50" s="24"/>
      <x:c r="L50" s="24" t="str">
        <x:v>Normal</x:v>
      </x:c>
      <x:c r="M50" s="24" t="str">
        <x:v>No</x:v>
      </x:c>
      <x:c r="N50" s="93"/>
      <x:c r="O50" s="93"/>
      <x:c r="P50" s="93"/>
      <x:c r="Q50" s="93"/>
      <x:c r="R50" s="152"/>
    </x:row>
    <x:row r="51" ht="22" customHeight="1">
      <x:c r="A51" s="60" t="str">
        <x:v>REQ-CDM-DCM1032-TUT-02</x:v>
      </x:c>
      <x:c r="B51" s="111" t="n">
        <x:v>1</x:v>
      </x:c>
      <x:c r="C51" s="111" t="n">
        <x:v>12</x:v>
      </x:c>
      <x:c r="D51" s="27" t="str">
        <x:v>Custom</x:v>
      </x:c>
      <x:c r="E51" s="94" t="str">
        <x:v>1,2,3,4,5,6,8,9,10,11,12</x:v>
      </x:c>
      <x:c r="F51" s="27" t="str">
        <x:v>Flexible</x:v>
      </x:c>
      <x:c r="G51" s="27"/>
      <x:c r="H51" s="27"/>
      <x:c r="I51" s="27"/>
      <x:c r="J51" s="27"/>
      <x:c r="K51" s="27"/>
      <x:c r="L51" s="27" t="str">
        <x:v>Normal</x:v>
      </x:c>
      <x:c r="M51" s="27" t="str">
        <x:v>No</x:v>
      </x:c>
      <x:c r="N51" s="94"/>
      <x:c r="O51" s="94"/>
      <x:c r="P51" s="94"/>
      <x:c r="Q51" s="94"/>
      <x:c r="R51" s="153"/>
    </x:row>
    <x:row r="52" ht="22" customHeight="1">
      <x:c r="A52" s="61" t="str">
        <x:v>REQ-CDM-DCM1032-QZ-03</x:v>
      </x:c>
      <x:c r="B52" s="112" t="n">
        <x:v>6</x:v>
      </x:c>
      <x:c r="C52" s="112" t="n">
        <x:v>6</x:v>
      </x:c>
      <x:c r="D52" s="30" t="str">
        <x:v>Custom</x:v>
      </x:c>
      <x:c r="E52" s="95" t="str">
        <x:v>6</x:v>
      </x:c>
      <x:c r="F52" s="30" t="str">
        <x:v>Flexible</x:v>
      </x:c>
      <x:c r="G52" s="30"/>
      <x:c r="H52" s="30"/>
      <x:c r="I52" s="30"/>
      <x:c r="J52" s="30"/>
      <x:c r="K52" s="30"/>
      <x:c r="L52" s="30" t="str">
        <x:v>Normal</x:v>
      </x:c>
      <x:c r="M52" s="30" t="str">
        <x:v>No</x:v>
      </x:c>
      <x:c r="N52" s="95"/>
      <x:c r="O52" s="95"/>
      <x:c r="P52" s="95"/>
      <x:c r="Q52" s="95"/>
      <x:c r="R52" s="154"/>
    </x:row>
    <x:row r="53" ht="22" customHeight="1">
      <x:c r="A53" s="62" t="str">
        <x:v>REQ-CDM-DCM1033-WKS-01</x:v>
      </x:c>
      <x:c r="B53" s="113" t="n">
        <x:v>1</x:v>
      </x:c>
      <x:c r="C53" s="113" t="n">
        <x:v>13</x:v>
      </x:c>
      <x:c r="D53" s="34" t="str">
        <x:v>Custom</x:v>
      </x:c>
      <x:c r="E53" s="96" t="str">
        <x:v>1,2,3,4,5,6,8,9,10,11,12,13</x:v>
      </x:c>
      <x:c r="F53" s="34" t="str">
        <x:v>Flexible</x:v>
      </x:c>
      <x:c r="G53" s="34"/>
      <x:c r="H53" s="34"/>
      <x:c r="I53" s="34"/>
      <x:c r="J53" s="34"/>
      <x:c r="K53" s="34"/>
      <x:c r="L53" s="34" t="str">
        <x:v>Normal</x:v>
      </x:c>
      <x:c r="M53" s="34" t="str">
        <x:v>No</x:v>
      </x:c>
      <x:c r="N53" s="96"/>
      <x:c r="O53" s="96"/>
      <x:c r="P53" s="96"/>
      <x:c r="Q53" s="96"/>
      <x:c r="R53" s="155"/>
    </x:row>
    <x:row r="54" ht="22" customHeight="1">
      <x:c r="A54" s="63" t="str">
        <x:v>REQ-CDM-DCM1033-SEM-02</x:v>
      </x:c>
      <x:c r="B54" s="114" t="n">
        <x:v>1</x:v>
      </x:c>
      <x:c r="C54" s="114" t="n">
        <x:v>12</x:v>
      </x:c>
      <x:c r="D54" s="37" t="str">
        <x:v>Custom</x:v>
      </x:c>
      <x:c r="E54" s="97" t="str">
        <x:v>1,2,3,4,5,6,8,9,10,11,12</x:v>
      </x:c>
      <x:c r="F54" s="37" t="str">
        <x:v>Flexible</x:v>
      </x:c>
      <x:c r="G54" s="37"/>
      <x:c r="H54" s="37"/>
      <x:c r="I54" s="37"/>
      <x:c r="J54" s="37"/>
      <x:c r="K54" s="37"/>
      <x:c r="L54" s="37" t="str">
        <x:v>Normal</x:v>
      </x:c>
      <x:c r="M54" s="37" t="str">
        <x:v>No</x:v>
      </x:c>
      <x:c r="N54" s="97"/>
      <x:c r="O54" s="97"/>
      <x:c r="P54" s="97"/>
      <x:c r="Q54" s="97"/>
      <x:c r="R54" s="156"/>
    </x:row>
    <x:row r="55" ht="22" customHeight="1">
      <x:c r="A55" s="64" t="str">
        <x:v>REQ-CDM-DCM2001-LEC-01</x:v>
      </x:c>
      <x:c r="B55" s="115" t="n">
        <x:v>1</x:v>
      </x:c>
      <x:c r="C55" s="115" t="n">
        <x:v>13</x:v>
      </x:c>
      <x:c r="D55" s="41" t="str">
        <x:v>Custom</x:v>
      </x:c>
      <x:c r="E55" s="98" t="str">
        <x:v>1,2,3,4,5,6,8,9,10,11,12,13</x:v>
      </x:c>
      <x:c r="F55" s="41" t="str">
        <x:v>Flexible</x:v>
      </x:c>
      <x:c r="G55" s="41"/>
      <x:c r="H55" s="41"/>
      <x:c r="I55" s="41"/>
      <x:c r="J55" s="41"/>
      <x:c r="K55" s="41"/>
      <x:c r="L55" s="41" t="str">
        <x:v>Normal</x:v>
      </x:c>
      <x:c r="M55" s="41" t="str">
        <x:v>No</x:v>
      </x:c>
      <x:c r="N55" s="98"/>
      <x:c r="O55" s="98"/>
      <x:c r="P55" s="98"/>
      <x:c r="Q55" s="98"/>
      <x:c r="R55" s="157"/>
    </x:row>
    <x:row r="56" ht="22" customHeight="1">
      <x:c r="A56" s="65" t="str">
        <x:v>REQ-CDM-DCM2001-TUT-02</x:v>
      </x:c>
      <x:c r="B56" s="116" t="n">
        <x:v>1</x:v>
      </x:c>
      <x:c r="C56" s="116" t="n">
        <x:v>12</x:v>
      </x:c>
      <x:c r="D56" s="44" t="str">
        <x:v>Custom</x:v>
      </x:c>
      <x:c r="E56" s="99" t="str">
        <x:v>1,2,3,4,5,6,8,9,10,11,12</x:v>
      </x:c>
      <x:c r="F56" s="44" t="str">
        <x:v>Flexible</x:v>
      </x:c>
      <x:c r="G56" s="44"/>
      <x:c r="H56" s="44"/>
      <x:c r="I56" s="44"/>
      <x:c r="J56" s="44"/>
      <x:c r="K56" s="44"/>
      <x:c r="L56" s="44" t="str">
        <x:v>Normal</x:v>
      </x:c>
      <x:c r="M56" s="44" t="str">
        <x:v>No</x:v>
      </x:c>
      <x:c r="N56" s="99"/>
      <x:c r="O56" s="99"/>
      <x:c r="P56" s="99"/>
      <x:c r="Q56" s="99"/>
      <x:c r="R56" s="158"/>
    </x:row>
    <x:row r="57" ht="22" customHeight="1">
      <x:c r="A57" s="55" t="str">
        <x:v>REQ-CEG-CEG1007-LEC-01</x:v>
      </x:c>
      <x:c r="B57" s="106" t="n">
        <x:v>1</x:v>
      </x:c>
      <x:c r="C57" s="106" t="n">
        <x:v>13</x:v>
      </x:c>
      <x:c r="D57" s="10" t="str">
        <x:v>Custom</x:v>
      </x:c>
      <x:c r="E57" s="89" t="str">
        <x:v>1,2,3,4,5,6,8,9,10,11,12,13</x:v>
      </x:c>
      <x:c r="F57" s="10" t="str">
        <x:v>Flexible</x:v>
      </x:c>
      <x:c r="G57" s="10"/>
      <x:c r="H57" s="10"/>
      <x:c r="I57" s="10"/>
      <x:c r="J57" s="10"/>
      <x:c r="K57" s="10"/>
      <x:c r="L57" s="10" t="str">
        <x:v>Normal</x:v>
      </x:c>
      <x:c r="M57" s="10" t="str">
        <x:v>No</x:v>
      </x:c>
      <x:c r="N57" s="89"/>
      <x:c r="O57" s="89"/>
      <x:c r="P57" s="89"/>
      <x:c r="Q57" s="89"/>
      <x:c r="R57" s="148"/>
    </x:row>
    <x:row r="58" ht="22" customHeight="1">
      <x:c r="A58" s="66" t="str">
        <x:v>REQ-CEG-CEG1007-TUT-02</x:v>
      </x:c>
      <x:c r="B58" s="117" t="n">
        <x:v>1</x:v>
      </x:c>
      <x:c r="C58" s="117" t="n">
        <x:v>12</x:v>
      </x:c>
      <x:c r="D58" s="47" t="str">
        <x:v>Custom</x:v>
      </x:c>
      <x:c r="E58" s="100" t="str">
        <x:v>1,2,3,4,5,6,8,9,10,11,12</x:v>
      </x:c>
      <x:c r="F58" s="47" t="str">
        <x:v>Flexible</x:v>
      </x:c>
      <x:c r="G58" s="47"/>
      <x:c r="H58" s="47"/>
      <x:c r="I58" s="47"/>
      <x:c r="J58" s="47"/>
      <x:c r="K58" s="47"/>
      <x:c r="L58" s="47" t="str">
        <x:v>Normal</x:v>
      </x:c>
      <x:c r="M58" s="47" t="str">
        <x:v>No</x:v>
      </x:c>
      <x:c r="N58" s="100"/>
      <x:c r="O58" s="100"/>
      <x:c r="P58" s="100"/>
      <x:c r="Q58" s="100"/>
      <x:c r="R58" s="159"/>
    </x:row>
    <x:row r="59" ht="22" customHeight="1">
      <x:c r="A59" s="56" t="str">
        <x:v>REQ-CEG-CEG1007-QZ-03</x:v>
      </x:c>
      <x:c r="B59" s="107" t="n">
        <x:v>8</x:v>
      </x:c>
      <x:c r="C59" s="107" t="n">
        <x:v>13</x:v>
      </x:c>
      <x:c r="D59" s="13" t="str">
        <x:v>Custom</x:v>
      </x:c>
      <x:c r="E59" s="90" t="str">
        <x:v>8,13</x:v>
      </x:c>
      <x:c r="F59" s="13" t="str">
        <x:v>Flexible</x:v>
      </x:c>
      <x:c r="G59" s="13"/>
      <x:c r="H59" s="13"/>
      <x:c r="I59" s="13"/>
      <x:c r="J59" s="13"/>
      <x:c r="K59" s="13"/>
      <x:c r="L59" s="13" t="str">
        <x:v>Normal</x:v>
      </x:c>
      <x:c r="M59" s="13" t="str">
        <x:v>No</x:v>
      </x:c>
      <x:c r="N59" s="90"/>
      <x:c r="O59" s="90"/>
      <x:c r="P59" s="90"/>
      <x:c r="Q59" s="90"/>
      <x:c r="R59" s="149"/>
    </x:row>
    <x:row r="60" ht="22" customHeight="1">
      <x:c r="A60" s="57" t="str">
        <x:v>REQ-CEG-CEG1009-LEC-01</x:v>
      </x:c>
      <x:c r="B60" s="108" t="n">
        <x:v>1</x:v>
      </x:c>
      <x:c r="C60" s="108" t="n">
        <x:v>13</x:v>
      </x:c>
      <x:c r="D60" s="17" t="str">
        <x:v>Custom</x:v>
      </x:c>
      <x:c r="E60" s="91" t="str">
        <x:v>1,2,3,4,5,6,8,9,10,11,12,13</x:v>
      </x:c>
      <x:c r="F60" s="17" t="str">
        <x:v>Flexible</x:v>
      </x:c>
      <x:c r="G60" s="17"/>
      <x:c r="H60" s="17"/>
      <x:c r="I60" s="17"/>
      <x:c r="J60" s="17"/>
      <x:c r="K60" s="17"/>
      <x:c r="L60" s="17" t="str">
        <x:v>Normal</x:v>
      </x:c>
      <x:c r="M60" s="17" t="str">
        <x:v>No</x:v>
      </x:c>
      <x:c r="N60" s="91"/>
      <x:c r="O60" s="91"/>
      <x:c r="P60" s="91"/>
      <x:c r="Q60" s="91"/>
      <x:c r="R60" s="150"/>
    </x:row>
    <x:row r="61" ht="22" customHeight="1">
      <x:c r="A61" s="58" t="str">
        <x:v>REQ-CEG-CEG1009-TUT-02</x:v>
      </x:c>
      <x:c r="B61" s="109" t="n">
        <x:v>1</x:v>
      </x:c>
      <x:c r="C61" s="109" t="n">
        <x:v>12</x:v>
      </x:c>
      <x:c r="D61" s="20" t="str">
        <x:v>Custom</x:v>
      </x:c>
      <x:c r="E61" s="92" t="str">
        <x:v>1,2,3,4,5,6,8,9,10,11,12</x:v>
      </x:c>
      <x:c r="F61" s="20" t="str">
        <x:v>Flexible</x:v>
      </x:c>
      <x:c r="G61" s="20"/>
      <x:c r="H61" s="20"/>
      <x:c r="I61" s="20"/>
      <x:c r="J61" s="20"/>
      <x:c r="K61" s="20"/>
      <x:c r="L61" s="20" t="str">
        <x:v>Normal</x:v>
      </x:c>
      <x:c r="M61" s="20" t="str">
        <x:v>No</x:v>
      </x:c>
      <x:c r="N61" s="92"/>
      <x:c r="O61" s="92"/>
      <x:c r="P61" s="92"/>
      <x:c r="Q61" s="92"/>
      <x:c r="R61" s="151"/>
    </x:row>
    <x:row r="62" ht="22" customHeight="1">
      <x:c r="A62" s="59" t="str">
        <x:v>REQ-CEG-CEG2005-LEC-01</x:v>
      </x:c>
      <x:c r="B62" s="110" t="n">
        <x:v>1</x:v>
      </x:c>
      <x:c r="C62" s="110" t="n">
        <x:v>13</x:v>
      </x:c>
      <x:c r="D62" s="24" t="str">
        <x:v>Custom</x:v>
      </x:c>
      <x:c r="E62" s="93" t="str">
        <x:v>1,2,3,4,5,6,8,9,10,11,12,13</x:v>
      </x:c>
      <x:c r="F62" s="24" t="str">
        <x:v>Flexible</x:v>
      </x:c>
      <x:c r="G62" s="24"/>
      <x:c r="H62" s="24"/>
      <x:c r="I62" s="24"/>
      <x:c r="J62" s="24"/>
      <x:c r="K62" s="24"/>
      <x:c r="L62" s="24" t="str">
        <x:v>Normal</x:v>
      </x:c>
      <x:c r="M62" s="24" t="str">
        <x:v>No</x:v>
      </x:c>
      <x:c r="N62" s="93"/>
      <x:c r="O62" s="93"/>
      <x:c r="P62" s="93"/>
      <x:c r="Q62" s="93"/>
      <x:c r="R62" s="152"/>
    </x:row>
    <x:row r="63" ht="22" customHeight="1">
      <x:c r="A63" s="61" t="str">
        <x:v>REQ-CEG-CEG2005-TUT-02</x:v>
      </x:c>
      <x:c r="B63" s="112" t="n">
        <x:v>1</x:v>
      </x:c>
      <x:c r="C63" s="112" t="n">
        <x:v>12</x:v>
      </x:c>
      <x:c r="D63" s="30" t="str">
        <x:v>Custom</x:v>
      </x:c>
      <x:c r="E63" s="95" t="str">
        <x:v>1,2,3,4,5,6,8,9,10,11,12</x:v>
      </x:c>
      <x:c r="F63" s="30" t="str">
        <x:v>Flexible</x:v>
      </x:c>
      <x:c r="G63" s="30"/>
      <x:c r="H63" s="30"/>
      <x:c r="I63" s="30"/>
      <x:c r="J63" s="30"/>
      <x:c r="K63" s="30"/>
      <x:c r="L63" s="30" t="str">
        <x:v>Normal</x:v>
      </x:c>
      <x:c r="M63" s="30" t="str">
        <x:v>No</x:v>
      </x:c>
      <x:c r="N63" s="95"/>
      <x:c r="O63" s="95"/>
      <x:c r="P63" s="95"/>
      <x:c r="Q63" s="95"/>
      <x:c r="R63" s="154"/>
    </x:row>
    <x:row r="64" ht="22" customHeight="1">
      <x:c r="A64" s="62" t="str">
        <x:v>REQ-CEG-CEG2006-LEC-01</x:v>
      </x:c>
      <x:c r="B64" s="113" t="n">
        <x:v>1</x:v>
      </x:c>
      <x:c r="C64" s="113" t="n">
        <x:v>13</x:v>
      </x:c>
      <x:c r="D64" s="34" t="str">
        <x:v>Custom</x:v>
      </x:c>
      <x:c r="E64" s="96" t="str">
        <x:v>1,2,3,4,5,6,8,9,10,11,12,13</x:v>
      </x:c>
      <x:c r="F64" s="34" t="str">
        <x:v>Flexible</x:v>
      </x:c>
      <x:c r="G64" s="34"/>
      <x:c r="H64" s="34"/>
      <x:c r="I64" s="34"/>
      <x:c r="J64" s="34"/>
      <x:c r="K64" s="34"/>
      <x:c r="L64" s="34" t="str">
        <x:v>Normal</x:v>
      </x:c>
      <x:c r="M64" s="34" t="str">
        <x:v>No</x:v>
      </x:c>
      <x:c r="N64" s="96"/>
      <x:c r="O64" s="96"/>
      <x:c r="P64" s="96"/>
      <x:c r="Q64" s="96"/>
      <x:c r="R64" s="155"/>
    </x:row>
    <x:row r="65" ht="22" customHeight="1">
      <x:c r="A65" s="63" t="str">
        <x:v>REQ-CEG-CEG2006-TUT-02</x:v>
      </x:c>
      <x:c r="B65" s="114" t="n">
        <x:v>1</x:v>
      </x:c>
      <x:c r="C65" s="114" t="n">
        <x:v>12</x:v>
      </x:c>
      <x:c r="D65" s="37" t="str">
        <x:v>Custom</x:v>
      </x:c>
      <x:c r="E65" s="97" t="str">
        <x:v>1,2,3,4,5,6,8,9,10,11,12</x:v>
      </x:c>
      <x:c r="F65" s="37" t="str">
        <x:v>Flexible</x:v>
      </x:c>
      <x:c r="G65" s="37"/>
      <x:c r="H65" s="37"/>
      <x:c r="I65" s="37"/>
      <x:c r="J65" s="37"/>
      <x:c r="K65" s="37"/>
      <x:c r="L65" s="37" t="str">
        <x:v>Normal</x:v>
      </x:c>
      <x:c r="M65" s="37" t="str">
        <x:v>No</x:v>
      </x:c>
      <x:c r="N65" s="97"/>
      <x:c r="O65" s="97"/>
      <x:c r="P65" s="97"/>
      <x:c r="Q65" s="97"/>
      <x:c r="R65" s="156"/>
    </x:row>
    <x:row r="66" ht="22" customHeight="1">
      <x:c r="A66" s="64" t="str">
        <x:v>REQ-CEG-CEG2009-LEC-01</x:v>
      </x:c>
      <x:c r="B66" s="115" t="n">
        <x:v>1</x:v>
      </x:c>
      <x:c r="C66" s="115" t="n">
        <x:v>13</x:v>
      </x:c>
      <x:c r="D66" s="41" t="str">
        <x:v>Custom</x:v>
      </x:c>
      <x:c r="E66" s="98" t="str">
        <x:v>1,2,3,4,5,6,8,9,10,11,12,13</x:v>
      </x:c>
      <x:c r="F66" s="41" t="str">
        <x:v>Flexible</x:v>
      </x:c>
      <x:c r="G66" s="41"/>
      <x:c r="H66" s="41"/>
      <x:c r="I66" s="41"/>
      <x:c r="J66" s="41"/>
      <x:c r="K66" s="41"/>
      <x:c r="L66" s="41" t="str">
        <x:v>Normal</x:v>
      </x:c>
      <x:c r="M66" s="41" t="str">
        <x:v>No</x:v>
      </x:c>
      <x:c r="N66" s="98"/>
      <x:c r="O66" s="98"/>
      <x:c r="P66" s="98"/>
      <x:c r="Q66" s="98"/>
      <x:c r="R66" s="157"/>
    </x:row>
    <x:row r="67" ht="22" customHeight="1">
      <x:c r="A67" s="65" t="str">
        <x:v>REQ-CEG-CEG2009-TUT-02</x:v>
      </x:c>
      <x:c r="B67" s="116" t="n">
        <x:v>1</x:v>
      </x:c>
      <x:c r="C67" s="116" t="n">
        <x:v>12</x:v>
      </x:c>
      <x:c r="D67" s="44" t="str">
        <x:v>Custom</x:v>
      </x:c>
      <x:c r="E67" s="99" t="str">
        <x:v>1,2,3,4,5,6,8,9,10,11,12</x:v>
      </x:c>
      <x:c r="F67" s="44" t="str">
        <x:v>Flexible</x:v>
      </x:c>
      <x:c r="G67" s="44"/>
      <x:c r="H67" s="44"/>
      <x:c r="I67" s="44"/>
      <x:c r="J67" s="44"/>
      <x:c r="K67" s="44"/>
      <x:c r="L67" s="44" t="str">
        <x:v>Normal</x:v>
      </x:c>
      <x:c r="M67" s="44" t="str">
        <x:v>No</x:v>
      </x:c>
      <x:c r="N67" s="99"/>
      <x:c r="O67" s="99"/>
      <x:c r="P67" s="99"/>
      <x:c r="Q67" s="99"/>
      <x:c r="R67" s="158"/>
    </x:row>
    <x:row r="68" ht="22" customHeight="1">
      <x:c r="A68" s="55" t="str">
        <x:v>REQ-CVE-CVE1222-LEC-01</x:v>
      </x:c>
      <x:c r="B68" s="106" t="n">
        <x:v>2</x:v>
      </x:c>
      <x:c r="C68" s="106" t="n">
        <x:v>13</x:v>
      </x:c>
      <x:c r="D68" s="10" t="str">
        <x:v>Custom</x:v>
      </x:c>
      <x:c r="E68" s="89" t="str">
        <x:v>2,3,4,5,6,9,10,11,12,13</x:v>
      </x:c>
      <x:c r="F68" s="10" t="str">
        <x:v>Flexible</x:v>
      </x:c>
      <x:c r="G68" s="10"/>
      <x:c r="H68" s="10"/>
      <x:c r="I68" s="10"/>
      <x:c r="J68" s="10"/>
      <x:c r="K68" s="10"/>
      <x:c r="L68" s="10" t="str">
        <x:v>Normal</x:v>
      </x:c>
      <x:c r="M68" s="10" t="str">
        <x:v>No</x:v>
      </x:c>
      <x:c r="N68" s="89"/>
      <x:c r="O68" s="89"/>
      <x:c r="P68" s="89"/>
      <x:c r="Q68" s="89"/>
      <x:c r="R68" s="148"/>
    </x:row>
    <x:row r="69" ht="22" customHeight="1">
      <x:c r="A69" s="56" t="str">
        <x:v>REQ-CVE-CVE1222-TUT-02</x:v>
      </x:c>
      <x:c r="B69" s="107" t="n">
        <x:v>1</x:v>
      </x:c>
      <x:c r="C69" s="107" t="n">
        <x:v>13</x:v>
      </x:c>
      <x:c r="D69" s="13" t="str">
        <x:v>Custom</x:v>
      </x:c>
      <x:c r="E69" s="90" t="str">
        <x:v>1,2,3,4,5,6,8,9,10,11,12,13</x:v>
      </x:c>
      <x:c r="F69" s="13" t="str">
        <x:v>Flexible</x:v>
      </x:c>
      <x:c r="G69" s="13"/>
      <x:c r="H69" s="13"/>
      <x:c r="I69" s="13"/>
      <x:c r="J69" s="13"/>
      <x:c r="K69" s="13"/>
      <x:c r="L69" s="13" t="str">
        <x:v>Normal</x:v>
      </x:c>
      <x:c r="M69" s="13" t="str">
        <x:v>No</x:v>
      </x:c>
      <x:c r="N69" s="90"/>
      <x:c r="O69" s="90"/>
      <x:c r="P69" s="90"/>
      <x:c r="Q69" s="90"/>
      <x:c r="R69" s="149"/>
    </x:row>
    <x:row r="70" ht="22" customHeight="1">
      <x:c r="A70" s="57" t="str">
        <x:v>REQ-CVE-CVE1242-LEC-01</x:v>
      </x:c>
      <x:c r="B70" s="108" t="n">
        <x:v>9</x:v>
      </x:c>
      <x:c r="C70" s="108" t="n">
        <x:v>13</x:v>
      </x:c>
      <x:c r="D70" s="17" t="str">
        <x:v>Custom</x:v>
      </x:c>
      <x:c r="E70" s="91" t="str">
        <x:v>9,10,11,13</x:v>
      </x:c>
      <x:c r="F70" s="17" t="str">
        <x:v>Flexible</x:v>
      </x:c>
      <x:c r="G70" s="17"/>
      <x:c r="H70" s="17"/>
      <x:c r="I70" s="17"/>
      <x:c r="J70" s="17"/>
      <x:c r="K70" s="17"/>
      <x:c r="L70" s="17" t="str">
        <x:v>Normal</x:v>
      </x:c>
      <x:c r="M70" s="17" t="str">
        <x:v>No</x:v>
      </x:c>
      <x:c r="N70" s="91"/>
      <x:c r="O70" s="91"/>
      <x:c r="P70" s="91"/>
      <x:c r="Q70" s="91"/>
      <x:c r="R70" s="150"/>
    </x:row>
    <x:row r="71" ht="22" customHeight="1">
      <x:c r="A71" s="67" t="str">
        <x:v>REQ-CVE-CVE1242-TUT-02</x:v>
      </x:c>
      <x:c r="B71" s="118" t="n">
        <x:v>5</x:v>
      </x:c>
      <x:c r="C71" s="118" t="n">
        <x:v>13</x:v>
      </x:c>
      <x:c r="D71" s="50" t="str">
        <x:v>Custom</x:v>
      </x:c>
      <x:c r="E71" s="101" t="str">
        <x:v>5,8,12,13</x:v>
      </x:c>
      <x:c r="F71" s="50" t="str">
        <x:v>Flexible</x:v>
      </x:c>
      <x:c r="G71" s="50"/>
      <x:c r="H71" s="50"/>
      <x:c r="I71" s="50"/>
      <x:c r="J71" s="50"/>
      <x:c r="K71" s="50"/>
      <x:c r="L71" s="50" t="str">
        <x:v>Normal</x:v>
      </x:c>
      <x:c r="M71" s="50" t="str">
        <x:v>No</x:v>
      </x:c>
      <x:c r="N71" s="101"/>
      <x:c r="O71" s="101"/>
      <x:c r="P71" s="101"/>
      <x:c r="Q71" s="101"/>
      <x:c r="R71" s="160"/>
    </x:row>
    <x:row r="72" ht="22" customHeight="1">
      <x:c r="A72" s="58" t="str">
        <x:v>REQ-CVE-CVE1242-QZ-03</x:v>
      </x:c>
      <x:c r="B72" s="109" t="n">
        <x:v>6</x:v>
      </x:c>
      <x:c r="C72" s="109" t="n">
        <x:v>6</x:v>
      </x:c>
      <x:c r="D72" s="20" t="str">
        <x:v>Custom</x:v>
      </x:c>
      <x:c r="E72" s="92" t="str">
        <x:v>6</x:v>
      </x:c>
      <x:c r="F72" s="20" t="str">
        <x:v>Flexible</x:v>
      </x:c>
      <x:c r="G72" s="20"/>
      <x:c r="H72" s="20"/>
      <x:c r="I72" s="20"/>
      <x:c r="J72" s="20"/>
      <x:c r="K72" s="20"/>
      <x:c r="L72" s="20" t="str">
        <x:v>Normal</x:v>
      </x:c>
      <x:c r="M72" s="20" t="str">
        <x:v>No</x:v>
      </x:c>
      <x:c r="N72" s="92"/>
      <x:c r="O72" s="92"/>
      <x:c r="P72" s="92"/>
      <x:c r="Q72" s="92"/>
      <x:c r="R72" s="151"/>
    </x:row>
    <x:row r="73" ht="22" customHeight="1">
      <x:c r="A73" s="59" t="str">
        <x:v>REQ-CVE-CVE1261-LEC-01</x:v>
      </x:c>
      <x:c r="B73" s="110" t="n">
        <x:v>2</x:v>
      </x:c>
      <x:c r="C73" s="110" t="n">
        <x:v>13</x:v>
      </x:c>
      <x:c r="D73" s="24" t="str">
        <x:v>Custom</x:v>
      </x:c>
      <x:c r="E73" s="93" t="str">
        <x:v>2,3,4,5,6,9,10,11,12,13</x:v>
      </x:c>
      <x:c r="F73" s="24" t="str">
        <x:v>Flexible</x:v>
      </x:c>
      <x:c r="G73" s="24"/>
      <x:c r="H73" s="24"/>
      <x:c r="I73" s="24"/>
      <x:c r="J73" s="24"/>
      <x:c r="K73" s="24"/>
      <x:c r="L73" s="24" t="str">
        <x:v>Normal</x:v>
      </x:c>
      <x:c r="M73" s="24" t="str">
        <x:v>No</x:v>
      </x:c>
      <x:c r="N73" s="93"/>
      <x:c r="O73" s="93"/>
      <x:c r="P73" s="93"/>
      <x:c r="Q73" s="93"/>
      <x:c r="R73" s="152"/>
    </x:row>
    <x:row r="74" ht="22" customHeight="1">
      <x:c r="A74" s="61" t="str">
        <x:v>REQ-CVE-CVE1261-TUT-02</x:v>
      </x:c>
      <x:c r="B74" s="112" t="n">
        <x:v>2</x:v>
      </x:c>
      <x:c r="C74" s="112" t="n">
        <x:v>11</x:v>
      </x:c>
      <x:c r="D74" s="30" t="str">
        <x:v>Custom</x:v>
      </x:c>
      <x:c r="E74" s="95" t="str">
        <x:v>2,3,4,5,8,9,11</x:v>
      </x:c>
      <x:c r="F74" s="30" t="str">
        <x:v>Flexible</x:v>
      </x:c>
      <x:c r="G74" s="30"/>
      <x:c r="H74" s="30"/>
      <x:c r="I74" s="30"/>
      <x:c r="J74" s="30"/>
      <x:c r="K74" s="30"/>
      <x:c r="L74" s="30" t="str">
        <x:v>Normal</x:v>
      </x:c>
      <x:c r="M74" s="30" t="str">
        <x:v>No</x:v>
      </x:c>
      <x:c r="N74" s="95"/>
      <x:c r="O74" s="95"/>
      <x:c r="P74" s="95"/>
      <x:c r="Q74" s="95"/>
      <x:c r="R74" s="154"/>
    </x:row>
    <x:row r="75" ht="22" customHeight="1">
      <x:c r="A75" s="62" t="str">
        <x:v>REQ-CVE-CVE3221-LEC-01</x:v>
      </x:c>
      <x:c r="B75" s="113" t="n">
        <x:v>1</x:v>
      </x:c>
      <x:c r="C75" s="113" t="n">
        <x:v>13</x:v>
      </x:c>
      <x:c r="D75" s="34" t="str">
        <x:v>Custom</x:v>
      </x:c>
      <x:c r="E75" s="96" t="str">
        <x:v>1,2,3,4,5,6,8,9,10,11,12,13</x:v>
      </x:c>
      <x:c r="F75" s="34" t="str">
        <x:v>Flexible</x:v>
      </x:c>
      <x:c r="G75" s="34"/>
      <x:c r="H75" s="34"/>
      <x:c r="I75" s="34"/>
      <x:c r="J75" s="34"/>
      <x:c r="K75" s="34"/>
      <x:c r="L75" s="34" t="str">
        <x:v>Normal</x:v>
      </x:c>
      <x:c r="M75" s="34" t="str">
        <x:v>No</x:v>
      </x:c>
      <x:c r="N75" s="96"/>
      <x:c r="O75" s="96"/>
      <x:c r="P75" s="96"/>
      <x:c r="Q75" s="96"/>
      <x:c r="R75" s="155"/>
    </x:row>
    <x:row r="76" ht="22" customHeight="1">
      <x:c r="A76" s="63" t="str">
        <x:v>REQ-CVE-CVE3221-TUT-02</x:v>
      </x:c>
      <x:c r="B76" s="114" t="n">
        <x:v>1</x:v>
      </x:c>
      <x:c r="C76" s="114" t="n">
        <x:v>13</x:v>
      </x:c>
      <x:c r="D76" s="37" t="str">
        <x:v>Custom</x:v>
      </x:c>
      <x:c r="E76" s="97" t="str">
        <x:v>1,2,3,4,5,6,8,9,10,11,12,13</x:v>
      </x:c>
      <x:c r="F76" s="37" t="str">
        <x:v>Flexible</x:v>
      </x:c>
      <x:c r="G76" s="37"/>
      <x:c r="H76" s="37"/>
      <x:c r="I76" s="37"/>
      <x:c r="J76" s="37"/>
      <x:c r="K76" s="37"/>
      <x:c r="L76" s="37" t="str">
        <x:v>Normal</x:v>
      </x:c>
      <x:c r="M76" s="37" t="str">
        <x:v>No</x:v>
      </x:c>
      <x:c r="N76" s="97"/>
      <x:c r="O76" s="97"/>
      <x:c r="P76" s="97"/>
      <x:c r="Q76" s="97"/>
      <x:c r="R76" s="156"/>
    </x:row>
    <x:row r="77" ht="22" customHeight="1">
      <x:c r="A77" s="64" t="str">
        <x:v>REQ-CVE-CVE3222-LEC-01</x:v>
      </x:c>
      <x:c r="B77" s="115" t="n">
        <x:v>2</x:v>
      </x:c>
      <x:c r="C77" s="115" t="n">
        <x:v>13</x:v>
      </x:c>
      <x:c r="D77" s="41" t="str">
        <x:v>Custom</x:v>
      </x:c>
      <x:c r="E77" s="98" t="str">
        <x:v>2,3,4,5,6,9,10,11,12,13</x:v>
      </x:c>
      <x:c r="F77" s="41" t="str">
        <x:v>Flexible</x:v>
      </x:c>
      <x:c r="G77" s="41"/>
      <x:c r="H77" s="41"/>
      <x:c r="I77" s="41"/>
      <x:c r="J77" s="41"/>
      <x:c r="K77" s="41"/>
      <x:c r="L77" s="41" t="str">
        <x:v>Normal</x:v>
      </x:c>
      <x:c r="M77" s="41" t="str">
        <x:v>No</x:v>
      </x:c>
      <x:c r="N77" s="98"/>
      <x:c r="O77" s="98"/>
      <x:c r="P77" s="98"/>
      <x:c r="Q77" s="98"/>
      <x:c r="R77" s="157"/>
    </x:row>
    <x:row r="78" ht="22" customHeight="1">
      <x:c r="A78" s="65" t="str">
        <x:v>REQ-CVE-CVE3222-TUT-02</x:v>
      </x:c>
      <x:c r="B78" s="116" t="n">
        <x:v>1</x:v>
      </x:c>
      <x:c r="C78" s="116" t="n">
        <x:v>12</x:v>
      </x:c>
      <x:c r="D78" s="44" t="str">
        <x:v>Custom</x:v>
      </x:c>
      <x:c r="E78" s="99" t="str">
        <x:v>1,2,4,6,9,10,11,12</x:v>
      </x:c>
      <x:c r="F78" s="44" t="str">
        <x:v>Flexible</x:v>
      </x:c>
      <x:c r="G78" s="44"/>
      <x:c r="H78" s="44"/>
      <x:c r="I78" s="44"/>
      <x:c r="J78" s="44"/>
      <x:c r="K78" s="44"/>
      <x:c r="L78" s="44" t="str">
        <x:v>Normal</x:v>
      </x:c>
      <x:c r="M78" s="44" t="str">
        <x:v>No</x:v>
      </x:c>
      <x:c r="N78" s="99"/>
      <x:c r="O78" s="99"/>
      <x:c r="P78" s="99"/>
      <x:c r="Q78" s="99"/>
      <x:c r="R78" s="158"/>
    </x:row>
    <x:row r="79" ht="22" customHeight="1">
      <x:c r="A79" s="55" t="str">
        <x:v>REQ-DSC-DSC2203-LEC-01</x:v>
      </x:c>
      <x:c r="B79" s="106" t="n">
        <x:v>10</x:v>
      </x:c>
      <x:c r="C79" s="106" t="n">
        <x:v>10</x:v>
      </x:c>
      <x:c r="D79" s="10" t="str">
        <x:v>Custom</x:v>
      </x:c>
      <x:c r="E79" s="89" t="str">
        <x:v>10</x:v>
      </x:c>
      <x:c r="F79" s="10" t="str">
        <x:v>Flexible</x:v>
      </x:c>
      <x:c r="G79" s="10"/>
      <x:c r="H79" s="10"/>
      <x:c r="I79" s="10"/>
      <x:c r="J79" s="10"/>
      <x:c r="K79" s="10"/>
      <x:c r="L79" s="10" t="str">
        <x:v>Normal</x:v>
      </x:c>
      <x:c r="M79" s="10" t="str">
        <x:v>No</x:v>
      </x:c>
      <x:c r="N79" s="89"/>
      <x:c r="O79" s="89"/>
      <x:c r="P79" s="89"/>
      <x:c r="Q79" s="89"/>
      <x:c r="R79" s="148"/>
    </x:row>
    <x:row r="80" ht="22" customHeight="1">
      <x:c r="A80" s="56" t="str">
        <x:v>REQ-DSC-DSC2203-TUT-02</x:v>
      </x:c>
      <x:c r="B80" s="107" t="n">
        <x:v>1</x:v>
      </x:c>
      <x:c r="C80" s="107" t="n">
        <x:v>9</x:v>
      </x:c>
      <x:c r="D80" s="13" t="str">
        <x:v>Custom</x:v>
      </x:c>
      <x:c r="E80" s="90" t="str">
        <x:v>1,2,3,4,5,6,8,9</x:v>
      </x:c>
      <x:c r="F80" s="13" t="str">
        <x:v>Flexible</x:v>
      </x:c>
      <x:c r="G80" s="13"/>
      <x:c r="H80" s="13"/>
      <x:c r="I80" s="13"/>
      <x:c r="J80" s="13"/>
      <x:c r="K80" s="13"/>
      <x:c r="L80" s="13" t="str">
        <x:v>Normal</x:v>
      </x:c>
      <x:c r="M80" s="13" t="str">
        <x:v>No</x:v>
      </x:c>
      <x:c r="N80" s="90"/>
      <x:c r="O80" s="90"/>
      <x:c r="P80" s="90"/>
      <x:c r="Q80" s="90"/>
      <x:c r="R80" s="149"/>
    </x:row>
    <x:row r="81" ht="22" customHeight="1">
      <x:c r="A81" s="57" t="str">
        <x:v>REQ-DSC-DSC3201-LEC-01</x:v>
      </x:c>
      <x:c r="B81" s="108" t="n">
        <x:v>1</x:v>
      </x:c>
      <x:c r="C81" s="108" t="n">
        <x:v>13</x:v>
      </x:c>
      <x:c r="D81" s="17" t="str">
        <x:v>Custom</x:v>
      </x:c>
      <x:c r="E81" s="91" t="str">
        <x:v>1,2,3,4,5,6,8,9,10,11,12,13</x:v>
      </x:c>
      <x:c r="F81" s="17" t="str">
        <x:v>Flexible</x:v>
      </x:c>
      <x:c r="G81" s="17"/>
      <x:c r="H81" s="17"/>
      <x:c r="I81" s="17"/>
      <x:c r="J81" s="17"/>
      <x:c r="K81" s="17"/>
      <x:c r="L81" s="17" t="str">
        <x:v>Normal</x:v>
      </x:c>
      <x:c r="M81" s="17" t="str">
        <x:v>No</x:v>
      </x:c>
      <x:c r="N81" s="91"/>
      <x:c r="O81" s="91"/>
      <x:c r="P81" s="91"/>
      <x:c r="Q81" s="91"/>
      <x:c r="R81" s="150"/>
    </x:row>
    <x:row r="82" ht="22" customHeight="1">
      <x:c r="A82" s="58" t="str">
        <x:v>REQ-DSC-DSC3201-TUT-02</x:v>
      </x:c>
      <x:c r="B82" s="109" t="n">
        <x:v>1</x:v>
      </x:c>
      <x:c r="C82" s="109" t="n">
        <x:v>12</x:v>
      </x:c>
      <x:c r="D82" s="20" t="str">
        <x:v>Custom</x:v>
      </x:c>
      <x:c r="E82" s="92" t="str">
        <x:v>1,2,3,4,5,6,8,9,10,11,12</x:v>
      </x:c>
      <x:c r="F82" s="20" t="str">
        <x:v>Flexible</x:v>
      </x:c>
      <x:c r="G82" s="20"/>
      <x:c r="H82" s="20"/>
      <x:c r="I82" s="20"/>
      <x:c r="J82" s="20"/>
      <x:c r="K82" s="20"/>
      <x:c r="L82" s="20" t="str">
        <x:v>Normal</x:v>
      </x:c>
      <x:c r="M82" s="20" t="str">
        <x:v>No</x:v>
      </x:c>
      <x:c r="N82" s="92"/>
      <x:c r="O82" s="92"/>
      <x:c r="P82" s="92"/>
      <x:c r="Q82" s="92"/>
      <x:c r="R82" s="151"/>
    </x:row>
    <x:row r="83" ht="22" customHeight="1">
      <x:c r="A83" s="59" t="str">
        <x:v>REQ-DSC-DSC3202-WKS-01</x:v>
      </x:c>
      <x:c r="B83" s="110" t="n">
        <x:v>8</x:v>
      </x:c>
      <x:c r="C83" s="110" t="n">
        <x:v>12</x:v>
      </x:c>
      <x:c r="D83" s="24" t="str">
        <x:v>Custom</x:v>
      </x:c>
      <x:c r="E83" s="93" t="str">
        <x:v>8,10,12</x:v>
      </x:c>
      <x:c r="F83" s="24" t="str">
        <x:v>Flexible</x:v>
      </x:c>
      <x:c r="G83" s="24"/>
      <x:c r="H83" s="24"/>
      <x:c r="I83" s="24"/>
      <x:c r="J83" s="24"/>
      <x:c r="K83" s="24"/>
      <x:c r="L83" s="24" t="str">
        <x:v>Normal</x:v>
      </x:c>
      <x:c r="M83" s="24" t="str">
        <x:v>No</x:v>
      </x:c>
      <x:c r="N83" s="93"/>
      <x:c r="O83" s="93"/>
      <x:c r="P83" s="93"/>
      <x:c r="Q83" s="93"/>
      <x:c r="R83" s="152"/>
    </x:row>
    <x:row r="84" ht="22" customHeight="1">
      <x:c r="A84" s="60" t="str">
        <x:v>REQ-DSC-DSC3202-SEM-02</x:v>
      </x:c>
      <x:c r="B84" s="111" t="n">
        <x:v>1</x:v>
      </x:c>
      <x:c r="C84" s="111" t="n">
        <x:v>12</x:v>
      </x:c>
      <x:c r="D84" s="27" t="str">
        <x:v>Custom</x:v>
      </x:c>
      <x:c r="E84" s="94" t="str">
        <x:v>1,2,3,4,5,6,8,9,10,11,12</x:v>
      </x:c>
      <x:c r="F84" s="27" t="str">
        <x:v>Flexible</x:v>
      </x:c>
      <x:c r="G84" s="27"/>
      <x:c r="H84" s="27"/>
      <x:c r="I84" s="27"/>
      <x:c r="J84" s="27"/>
      <x:c r="K84" s="27"/>
      <x:c r="L84" s="27" t="str">
        <x:v>Normal</x:v>
      </x:c>
      <x:c r="M84" s="27" t="str">
        <x:v>No</x:v>
      </x:c>
      <x:c r="N84" s="94"/>
      <x:c r="O84" s="94"/>
      <x:c r="P84" s="94"/>
      <x:c r="Q84" s="94"/>
      <x:c r="R84" s="153"/>
    </x:row>
    <x:row r="85" ht="22" customHeight="1">
      <x:c r="A85" s="61" t="str">
        <x:v>REQ-DSC-DSC3202-QZ-03</x:v>
      </x:c>
      <x:c r="B85" s="112" t="n">
        <x:v>6</x:v>
      </x:c>
      <x:c r="C85" s="112" t="n">
        <x:v>6</x:v>
      </x:c>
      <x:c r="D85" s="30" t="str">
        <x:v>Custom</x:v>
      </x:c>
      <x:c r="E85" s="95" t="str">
        <x:v>6</x:v>
      </x:c>
      <x:c r="F85" s="30" t="str">
        <x:v>Flexible</x:v>
      </x:c>
      <x:c r="G85" s="30"/>
      <x:c r="H85" s="30"/>
      <x:c r="I85" s="30"/>
      <x:c r="J85" s="30"/>
      <x:c r="K85" s="30"/>
      <x:c r="L85" s="30" t="str">
        <x:v>Normal</x:v>
      </x:c>
      <x:c r="M85" s="30" t="str">
        <x:v>No</x:v>
      </x:c>
      <x:c r="N85" s="95"/>
      <x:c r="O85" s="95"/>
      <x:c r="P85" s="95"/>
      <x:c r="Q85" s="95"/>
      <x:c r="R85" s="154"/>
    </x:row>
    <x:row r="86" ht="22" customHeight="1">
      <x:c r="A86" s="62" t="str">
        <x:v>REQ-DSC-DSC3302-LEC-01</x:v>
      </x:c>
      <x:c r="B86" s="113" t="n">
        <x:v>10</x:v>
      </x:c>
      <x:c r="C86" s="113" t="n">
        <x:v>10</x:v>
      </x:c>
      <x:c r="D86" s="34" t="str">
        <x:v>Custom</x:v>
      </x:c>
      <x:c r="E86" s="96" t="str">
        <x:v>10</x:v>
      </x:c>
      <x:c r="F86" s="34" t="str">
        <x:v>Flexible</x:v>
      </x:c>
      <x:c r="G86" s="34"/>
      <x:c r="H86" s="34"/>
      <x:c r="I86" s="34"/>
      <x:c r="J86" s="34"/>
      <x:c r="K86" s="34"/>
      <x:c r="L86" s="34" t="str">
        <x:v>Normal</x:v>
      </x:c>
      <x:c r="M86" s="34" t="str">
        <x:v>No</x:v>
      </x:c>
      <x:c r="N86" s="96"/>
      <x:c r="O86" s="96"/>
      <x:c r="P86" s="96"/>
      <x:c r="Q86" s="96"/>
      <x:c r="R86" s="155"/>
    </x:row>
    <x:row r="87" ht="22" customHeight="1">
      <x:c r="A87" s="63" t="str">
        <x:v>REQ-DSC-DSC3302-TUT-02</x:v>
      </x:c>
      <x:c r="B87" s="114" t="n">
        <x:v>1</x:v>
      </x:c>
      <x:c r="C87" s="114" t="n">
        <x:v>9</x:v>
      </x:c>
      <x:c r="D87" s="37" t="str">
        <x:v>Custom</x:v>
      </x:c>
      <x:c r="E87" s="97" t="str">
        <x:v>1,2,3,4,5,6,8,9</x:v>
      </x:c>
      <x:c r="F87" s="37" t="str">
        <x:v>Flexible</x:v>
      </x:c>
      <x:c r="G87" s="37"/>
      <x:c r="H87" s="37"/>
      <x:c r="I87" s="37"/>
      <x:c r="J87" s="37"/>
      <x:c r="K87" s="37"/>
      <x:c r="L87" s="37" t="str">
        <x:v>Normal</x:v>
      </x:c>
      <x:c r="M87" s="37" t="str">
        <x:v>No</x:v>
      </x:c>
      <x:c r="N87" s="97"/>
      <x:c r="O87" s="97"/>
      <x:c r="P87" s="97"/>
      <x:c r="Q87" s="97"/>
      <x:c r="R87" s="156"/>
    </x:row>
    <x:row r="88" ht="22" customHeight="1">
      <x:c r="A88" s="64" t="str">
        <x:v>REQ-DSC-DSC3303-LEC-01</x:v>
      </x:c>
      <x:c r="B88" s="115" t="n">
        <x:v>1</x:v>
      </x:c>
      <x:c r="C88" s="115" t="n">
        <x:v>13</x:v>
      </x:c>
      <x:c r="D88" s="41" t="str">
        <x:v>Custom</x:v>
      </x:c>
      <x:c r="E88" s="98" t="str">
        <x:v>1,2,3,4,5,6,8,9,10,11,12,13</x:v>
      </x:c>
      <x:c r="F88" s="41" t="str">
        <x:v>Flexible</x:v>
      </x:c>
      <x:c r="G88" s="41"/>
      <x:c r="H88" s="41"/>
      <x:c r="I88" s="41"/>
      <x:c r="J88" s="41"/>
      <x:c r="K88" s="41"/>
      <x:c r="L88" s="41" t="str">
        <x:v>Normal</x:v>
      </x:c>
      <x:c r="M88" s="41" t="str">
        <x:v>No</x:v>
      </x:c>
      <x:c r="N88" s="98"/>
      <x:c r="O88" s="98"/>
      <x:c r="P88" s="98"/>
      <x:c r="Q88" s="98"/>
      <x:c r="R88" s="157"/>
    </x:row>
    <x:row r="89" ht="22" customHeight="1">
      <x:c r="A89" s="65" t="str">
        <x:v>REQ-DSC-DSC3303-TUT-02</x:v>
      </x:c>
      <x:c r="B89" s="116" t="n">
        <x:v>1</x:v>
      </x:c>
      <x:c r="C89" s="116" t="n">
        <x:v>12</x:v>
      </x:c>
      <x:c r="D89" s="44" t="str">
        <x:v>Custom</x:v>
      </x:c>
      <x:c r="E89" s="99" t="str">
        <x:v>1,2,3,4,5,6,8,9,10,11,12</x:v>
      </x:c>
      <x:c r="F89" s="44" t="str">
        <x:v>Flexible</x:v>
      </x:c>
      <x:c r="G89" s="44"/>
      <x:c r="H89" s="44"/>
      <x:c r="I89" s="44"/>
      <x:c r="J89" s="44"/>
      <x:c r="K89" s="44"/>
      <x:c r="L89" s="44" t="str">
        <x:v>Normal</x:v>
      </x:c>
      <x:c r="M89" s="44" t="str">
        <x:v>No</x:v>
      </x:c>
      <x:c r="N89" s="99"/>
      <x:c r="O89" s="99"/>
      <x:c r="P89" s="99"/>
      <x:c r="Q89" s="99"/>
      <x:c r="R89" s="158"/>
    </x:row>
    <x:row r="90" ht="22" customHeight="1">
      <x:c r="A90" s="55" t="str">
        <x:v>REQ-EDE-EDE1021-LEC-01</x:v>
      </x:c>
      <x:c r="B90" s="106" t="n">
        <x:v>1</x:v>
      </x:c>
      <x:c r="C90" s="106" t="n">
        <x:v>13</x:v>
      </x:c>
      <x:c r="D90" s="10" t="str">
        <x:v>Custom</x:v>
      </x:c>
      <x:c r="E90" s="89" t="str">
        <x:v>1,2,3,4,5,6,8,9,10,11,12,13</x:v>
      </x:c>
      <x:c r="F90" s="10" t="str">
        <x:v>Flexible</x:v>
      </x:c>
      <x:c r="G90" s="10"/>
      <x:c r="H90" s="10"/>
      <x:c r="I90" s="10"/>
      <x:c r="J90" s="10"/>
      <x:c r="K90" s="10"/>
      <x:c r="L90" s="10" t="str">
        <x:v>Normal</x:v>
      </x:c>
      <x:c r="M90" s="10" t="str">
        <x:v>No</x:v>
      </x:c>
      <x:c r="N90" s="89"/>
      <x:c r="O90" s="89"/>
      <x:c r="P90" s="89"/>
      <x:c r="Q90" s="89"/>
      <x:c r="R90" s="148"/>
    </x:row>
    <x:row r="91" ht="22" customHeight="1">
      <x:c r="A91" s="66" t="str">
        <x:v>REQ-EDE-EDE1021-TUT-02</x:v>
      </x:c>
      <x:c r="B91" s="117" t="n">
        <x:v>1</x:v>
      </x:c>
      <x:c r="C91" s="117" t="n">
        <x:v>13</x:v>
      </x:c>
      <x:c r="D91" s="47" t="str">
        <x:v>Custom</x:v>
      </x:c>
      <x:c r="E91" s="100" t="str">
        <x:v>1,2,3,4,5,6,8,9,10,11,12,13</x:v>
      </x:c>
      <x:c r="F91" s="47" t="str">
        <x:v>Flexible</x:v>
      </x:c>
      <x:c r="G91" s="47"/>
      <x:c r="H91" s="47"/>
      <x:c r="I91" s="47"/>
      <x:c r="J91" s="47"/>
      <x:c r="K91" s="47"/>
      <x:c r="L91" s="47" t="str">
        <x:v>Normal</x:v>
      </x:c>
      <x:c r="M91" s="47" t="str">
        <x:v>No</x:v>
      </x:c>
      <x:c r="N91" s="100"/>
      <x:c r="O91" s="100"/>
      <x:c r="P91" s="100"/>
      <x:c r="Q91" s="100"/>
      <x:c r="R91" s="159"/>
    </x:row>
    <x:row r="92" ht="22" customHeight="1">
      <x:c r="A92" s="56" t="str">
        <x:v>REQ-EDE-EDE1021-QZ-03</x:v>
      </x:c>
      <x:c r="B92" s="107" t="n">
        <x:v>6</x:v>
      </x:c>
      <x:c r="C92" s="107" t="n">
        <x:v>6</x:v>
      </x:c>
      <x:c r="D92" s="13" t="str">
        <x:v>Custom</x:v>
      </x:c>
      <x:c r="E92" s="90" t="str">
        <x:v>6</x:v>
      </x:c>
      <x:c r="F92" s="13" t="str">
        <x:v>Flexible</x:v>
      </x:c>
      <x:c r="G92" s="13"/>
      <x:c r="H92" s="13"/>
      <x:c r="I92" s="13"/>
      <x:c r="J92" s="13"/>
      <x:c r="K92" s="13"/>
      <x:c r="L92" s="13" t="str">
        <x:v>Normal</x:v>
      </x:c>
      <x:c r="M92" s="13" t="str">
        <x:v>No</x:v>
      </x:c>
      <x:c r="N92" s="90"/>
      <x:c r="O92" s="90"/>
      <x:c r="P92" s="90"/>
      <x:c r="Q92" s="90"/>
      <x:c r="R92" s="149"/>
    </x:row>
    <x:row r="93" ht="22" customHeight="1">
      <x:c r="A93" s="57" t="str">
        <x:v>REQ-EDE-EDE1022-LEC-01</x:v>
      </x:c>
      <x:c r="B93" s="108" t="n">
        <x:v>1</x:v>
      </x:c>
      <x:c r="C93" s="108" t="n">
        <x:v>13</x:v>
      </x:c>
      <x:c r="D93" s="17" t="str">
        <x:v>Custom</x:v>
      </x:c>
      <x:c r="E93" s="91" t="str">
        <x:v>1,2,3,4,5,6,8,9,10,11,12,13</x:v>
      </x:c>
      <x:c r="F93" s="17" t="str">
        <x:v>Flexible</x:v>
      </x:c>
      <x:c r="G93" s="17"/>
      <x:c r="H93" s="17"/>
      <x:c r="I93" s="17"/>
      <x:c r="J93" s="17"/>
      <x:c r="K93" s="17"/>
      <x:c r="L93" s="17" t="str">
        <x:v>Normal</x:v>
      </x:c>
      <x:c r="M93" s="17" t="str">
        <x:v>No</x:v>
      </x:c>
      <x:c r="N93" s="91"/>
      <x:c r="O93" s="91"/>
      <x:c r="P93" s="91"/>
      <x:c r="Q93" s="91"/>
      <x:c r="R93" s="150"/>
    </x:row>
    <x:row r="94" ht="22" customHeight="1">
      <x:c r="A94" s="58" t="str">
        <x:v>REQ-EDE-EDE1022-TUT-02</x:v>
      </x:c>
      <x:c r="B94" s="109" t="n">
        <x:v>1</x:v>
      </x:c>
      <x:c r="C94" s="109" t="n">
        <x:v>13</x:v>
      </x:c>
      <x:c r="D94" s="20" t="str">
        <x:v>Custom</x:v>
      </x:c>
      <x:c r="E94" s="92" t="str">
        <x:v>1,2,3,4,5,6,8,9,10,11,12,13</x:v>
      </x:c>
      <x:c r="F94" s="20" t="str">
        <x:v>Flexible</x:v>
      </x:c>
      <x:c r="G94" s="20"/>
      <x:c r="H94" s="20"/>
      <x:c r="I94" s="20"/>
      <x:c r="J94" s="20"/>
      <x:c r="K94" s="20"/>
      <x:c r="L94" s="20" t="str">
        <x:v>Normal</x:v>
      </x:c>
      <x:c r="M94" s="20" t="str">
        <x:v>No</x:v>
      </x:c>
      <x:c r="N94" s="92"/>
      <x:c r="O94" s="92"/>
      <x:c r="P94" s="92"/>
      <x:c r="Q94" s="92"/>
      <x:c r="R94" s="151"/>
    </x:row>
    <x:row r="95" ht="22" customHeight="1">
      <x:c r="A95" s="59" t="str">
        <x:v>REQ-EDE-EDE1023-LEC-01</x:v>
      </x:c>
      <x:c r="B95" s="110" t="n">
        <x:v>1</x:v>
      </x:c>
      <x:c r="C95" s="110" t="n">
        <x:v>13</x:v>
      </x:c>
      <x:c r="D95" s="24" t="str">
        <x:v>Custom</x:v>
      </x:c>
      <x:c r="E95" s="93" t="str">
        <x:v>1,2,3,4,5,6,8,9,10,11,12,13</x:v>
      </x:c>
      <x:c r="F95" s="24" t="str">
        <x:v>Flexible</x:v>
      </x:c>
      <x:c r="G95" s="24"/>
      <x:c r="H95" s="24"/>
      <x:c r="I95" s="24"/>
      <x:c r="J95" s="24"/>
      <x:c r="K95" s="24"/>
      <x:c r="L95" s="24" t="str">
        <x:v>Normal</x:v>
      </x:c>
      <x:c r="M95" s="24" t="str">
        <x:v>No</x:v>
      </x:c>
      <x:c r="N95" s="93"/>
      <x:c r="O95" s="93"/>
      <x:c r="P95" s="93"/>
      <x:c r="Q95" s="93"/>
      <x:c r="R95" s="152"/>
    </x:row>
    <x:row r="96" ht="22" customHeight="1">
      <x:c r="A96" s="61" t="str">
        <x:v>REQ-EDE-EDE1023-TUT-02</x:v>
      </x:c>
      <x:c r="B96" s="112" t="n">
        <x:v>6</x:v>
      </x:c>
      <x:c r="C96" s="112" t="n">
        <x:v>6</x:v>
      </x:c>
      <x:c r="D96" s="30" t="str">
        <x:v>Custom</x:v>
      </x:c>
      <x:c r="E96" s="95" t="str">
        <x:v>6</x:v>
      </x:c>
      <x:c r="F96" s="30" t="str">
        <x:v>Flexible</x:v>
      </x:c>
      <x:c r="G96" s="30"/>
      <x:c r="H96" s="30"/>
      <x:c r="I96" s="30"/>
      <x:c r="J96" s="30"/>
      <x:c r="K96" s="30"/>
      <x:c r="L96" s="30" t="str">
        <x:v>Normal</x:v>
      </x:c>
      <x:c r="M96" s="30" t="str">
        <x:v>No</x:v>
      </x:c>
      <x:c r="N96" s="95"/>
      <x:c r="O96" s="95"/>
      <x:c r="P96" s="95"/>
      <x:c r="Q96" s="95"/>
      <x:c r="R96" s="154"/>
    </x:row>
    <x:row r="97" ht="22" customHeight="1">
      <x:c r="A97" s="62" t="str">
        <x:v>REQ-EDE-EDE1024-LEC-01</x:v>
      </x:c>
      <x:c r="B97" s="113" t="n">
        <x:v>1</x:v>
      </x:c>
      <x:c r="C97" s="113" t="n">
        <x:v>12</x:v>
      </x:c>
      <x:c r="D97" s="34" t="str">
        <x:v>Custom</x:v>
      </x:c>
      <x:c r="E97" s="96" t="str">
        <x:v>1,2,3,4,5,6,8,9,10,11,12</x:v>
      </x:c>
      <x:c r="F97" s="34" t="str">
        <x:v>Flexible</x:v>
      </x:c>
      <x:c r="G97" s="34"/>
      <x:c r="H97" s="34"/>
      <x:c r="I97" s="34"/>
      <x:c r="J97" s="34"/>
      <x:c r="K97" s="34"/>
      <x:c r="L97" s="34" t="str">
        <x:v>Normal</x:v>
      </x:c>
      <x:c r="M97" s="34" t="str">
        <x:v>No</x:v>
      </x:c>
      <x:c r="N97" s="96"/>
      <x:c r="O97" s="96"/>
      <x:c r="P97" s="96"/>
      <x:c r="Q97" s="96"/>
      <x:c r="R97" s="155"/>
    </x:row>
    <x:row r="98" ht="22" customHeight="1">
      <x:c r="A98" s="63" t="str">
        <x:v>REQ-EDE-EDE1024-TUT-02</x:v>
      </x:c>
      <x:c r="B98" s="114" t="n">
        <x:v>1</x:v>
      </x:c>
      <x:c r="C98" s="114" t="n">
        <x:v>12</x:v>
      </x:c>
      <x:c r="D98" s="37" t="str">
        <x:v>Custom</x:v>
      </x:c>
      <x:c r="E98" s="97" t="str">
        <x:v>1,2,3,4,5,6,8,9,10,11,12</x:v>
      </x:c>
      <x:c r="F98" s="37" t="str">
        <x:v>Flexible</x:v>
      </x:c>
      <x:c r="G98" s="37"/>
      <x:c r="H98" s="37"/>
      <x:c r="I98" s="37"/>
      <x:c r="J98" s="37"/>
      <x:c r="K98" s="37"/>
      <x:c r="L98" s="37" t="str">
        <x:v>Normal</x:v>
      </x:c>
      <x:c r="M98" s="37" t="str">
        <x:v>No</x:v>
      </x:c>
      <x:c r="N98" s="97"/>
      <x:c r="O98" s="97"/>
      <x:c r="P98" s="97"/>
      <x:c r="Q98" s="97"/>
      <x:c r="R98" s="156"/>
    </x:row>
    <x:row r="99" ht="22" customHeight="1">
      <x:c r="A99" s="64" t="str">
        <x:v>REQ-EDE-EDE2021-LEC-01</x:v>
      </x:c>
      <x:c r="B99" s="115" t="n">
        <x:v>1</x:v>
      </x:c>
      <x:c r="C99" s="115" t="n">
        <x:v>13</x:v>
      </x:c>
      <x:c r="D99" s="41" t="str">
        <x:v>Custom</x:v>
      </x:c>
      <x:c r="E99" s="98" t="str">
        <x:v>1,2,3,4,5,6,8,9,10,11,12,13</x:v>
      </x:c>
      <x:c r="F99" s="41" t="str">
        <x:v>Flexible</x:v>
      </x:c>
      <x:c r="G99" s="41"/>
      <x:c r="H99" s="41"/>
      <x:c r="I99" s="41"/>
      <x:c r="J99" s="41"/>
      <x:c r="K99" s="41"/>
      <x:c r="L99" s="41" t="str">
        <x:v>Normal</x:v>
      </x:c>
      <x:c r="M99" s="41" t="str">
        <x:v>No</x:v>
      </x:c>
      <x:c r="N99" s="98"/>
      <x:c r="O99" s="98"/>
      <x:c r="P99" s="98"/>
      <x:c r="Q99" s="98"/>
      <x:c r="R99" s="157"/>
    </x:row>
    <x:row r="100" ht="22" customHeight="1">
      <x:c r="A100" s="65" t="str">
        <x:v>REQ-EDE-EDE2021-TUT-02</x:v>
      </x:c>
      <x:c r="B100" s="116" t="n">
        <x:v>1</x:v>
      </x:c>
      <x:c r="C100" s="116" t="n">
        <x:v>13</x:v>
      </x:c>
      <x:c r="D100" s="44" t="str">
        <x:v>Custom</x:v>
      </x:c>
      <x:c r="E100" s="99" t="str">
        <x:v>1,2,3,4,5,6,8,9,10,11,12,13</x:v>
      </x:c>
      <x:c r="F100" s="44" t="str">
        <x:v>Flexible</x:v>
      </x:c>
      <x:c r="G100" s="44"/>
      <x:c r="H100" s="44"/>
      <x:c r="I100" s="44"/>
      <x:c r="J100" s="44"/>
      <x:c r="K100" s="44"/>
      <x:c r="L100" s="44" t="str">
        <x:v>Normal</x:v>
      </x:c>
      <x:c r="M100" s="44" t="str">
        <x:v>No</x:v>
      </x:c>
      <x:c r="N100" s="99"/>
      <x:c r="O100" s="99"/>
      <x:c r="P100" s="99"/>
      <x:c r="Q100" s="99"/>
      <x:c r="R100" s="158"/>
    </x:row>
    <x:row r="101" ht="22" customHeight="1">
      <x:c r="A101" s="55" t="str">
        <x:v>REQ-EPE-EPE1301-LEC-01</x:v>
      </x:c>
      <x:c r="B101" s="106" t="n">
        <x:v>1</x:v>
      </x:c>
      <x:c r="C101" s="106" t="n">
        <x:v>13</x:v>
      </x:c>
      <x:c r="D101" s="10" t="str">
        <x:v>Custom</x:v>
      </x:c>
      <x:c r="E101" s="89" t="str">
        <x:v>1,2,3,4,5,6,8,9,10,11,12,13</x:v>
      </x:c>
      <x:c r="F101" s="10" t="str">
        <x:v>Flexible</x:v>
      </x:c>
      <x:c r="G101" s="10"/>
      <x:c r="H101" s="10"/>
      <x:c r="I101" s="10"/>
      <x:c r="J101" s="10"/>
      <x:c r="K101" s="10"/>
      <x:c r="L101" s="10" t="str">
        <x:v>Normal</x:v>
      </x:c>
      <x:c r="M101" s="10" t="str">
        <x:v>No</x:v>
      </x:c>
      <x:c r="N101" s="89"/>
      <x:c r="O101" s="89"/>
      <x:c r="P101" s="89"/>
      <x:c r="Q101" s="89"/>
      <x:c r="R101" s="148"/>
    </x:row>
    <x:row r="102" ht="22" customHeight="1">
      <x:c r="A102" s="66" t="str">
        <x:v>REQ-EPE-EPE1301-TUT-02</x:v>
      </x:c>
      <x:c r="B102" s="117" t="n">
        <x:v>1</x:v>
      </x:c>
      <x:c r="C102" s="117" t="n">
        <x:v>12</x:v>
      </x:c>
      <x:c r="D102" s="47" t="str">
        <x:v>Custom</x:v>
      </x:c>
      <x:c r="E102" s="100" t="str">
        <x:v>1,2,3,4,5,6,8,9,10,11,12</x:v>
      </x:c>
      <x:c r="F102" s="47" t="str">
        <x:v>Flexible</x:v>
      </x:c>
      <x:c r="G102" s="47"/>
      <x:c r="H102" s="47"/>
      <x:c r="I102" s="47"/>
      <x:c r="J102" s="47"/>
      <x:c r="K102" s="47"/>
      <x:c r="L102" s="47" t="str">
        <x:v>Normal</x:v>
      </x:c>
      <x:c r="M102" s="47" t="str">
        <x:v>No</x:v>
      </x:c>
      <x:c r="N102" s="100"/>
      <x:c r="O102" s="100"/>
      <x:c r="P102" s="100"/>
      <x:c r="Q102" s="100"/>
      <x:c r="R102" s="159"/>
    </x:row>
    <x:row r="103" ht="22" customHeight="1">
      <x:c r="A103" s="56" t="str">
        <x:v>REQ-EPE-EPE1301-QZ-03</x:v>
      </x:c>
      <x:c r="B103" s="107" t="n">
        <x:v>8</x:v>
      </x:c>
      <x:c r="C103" s="107" t="n">
        <x:v>13</x:v>
      </x:c>
      <x:c r="D103" s="13" t="str">
        <x:v>Custom</x:v>
      </x:c>
      <x:c r="E103" s="90" t="str">
        <x:v>8,13</x:v>
      </x:c>
      <x:c r="F103" s="13" t="str">
        <x:v>Flexible</x:v>
      </x:c>
      <x:c r="G103" s="13"/>
      <x:c r="H103" s="13"/>
      <x:c r="I103" s="13"/>
      <x:c r="J103" s="13"/>
      <x:c r="K103" s="13"/>
      <x:c r="L103" s="13" t="str">
        <x:v>Normal</x:v>
      </x:c>
      <x:c r="M103" s="13" t="str">
        <x:v>No</x:v>
      </x:c>
      <x:c r="N103" s="90"/>
      <x:c r="O103" s="90"/>
      <x:c r="P103" s="90"/>
      <x:c r="Q103" s="90"/>
      <x:c r="R103" s="149"/>
    </x:row>
    <x:row r="104" ht="22" customHeight="1">
      <x:c r="A104" s="57" t="str">
        <x:v>REQ-EPE-EPE1302-LEC-01</x:v>
      </x:c>
      <x:c r="B104" s="108" t="n">
        <x:v>1</x:v>
      </x:c>
      <x:c r="C104" s="108" t="n">
        <x:v>13</x:v>
      </x:c>
      <x:c r="D104" s="17" t="str">
        <x:v>Custom</x:v>
      </x:c>
      <x:c r="E104" s="91" t="str">
        <x:v>1,2,3,4,5,6,8,9,10,11,12,13</x:v>
      </x:c>
      <x:c r="F104" s="17" t="str">
        <x:v>Flexible</x:v>
      </x:c>
      <x:c r="G104" s="17"/>
      <x:c r="H104" s="17"/>
      <x:c r="I104" s="17"/>
      <x:c r="J104" s="17"/>
      <x:c r="K104" s="17"/>
      <x:c r="L104" s="17" t="str">
        <x:v>Normal</x:v>
      </x:c>
      <x:c r="M104" s="17" t="str">
        <x:v>No</x:v>
      </x:c>
      <x:c r="N104" s="91"/>
      <x:c r="O104" s="91"/>
      <x:c r="P104" s="91"/>
      <x:c r="Q104" s="91"/>
      <x:c r="R104" s="150"/>
    </x:row>
    <x:row r="105" ht="22" customHeight="1">
      <x:c r="A105" s="58" t="str">
        <x:v>REQ-EPE-EPE1302-TUT-02</x:v>
      </x:c>
      <x:c r="B105" s="109" t="n">
        <x:v>1</x:v>
      </x:c>
      <x:c r="C105" s="109" t="n">
        <x:v>12</x:v>
      </x:c>
      <x:c r="D105" s="20" t="str">
        <x:v>Custom</x:v>
      </x:c>
      <x:c r="E105" s="92" t="str">
        <x:v>1,2,3,4,5,6,8,9,10,11,12</x:v>
      </x:c>
      <x:c r="F105" s="20" t="str">
        <x:v>Flexible</x:v>
      </x:c>
      <x:c r="G105" s="20"/>
      <x:c r="H105" s="20"/>
      <x:c r="I105" s="20"/>
      <x:c r="J105" s="20"/>
      <x:c r="K105" s="20"/>
      <x:c r="L105" s="20" t="str">
        <x:v>Normal</x:v>
      </x:c>
      <x:c r="M105" s="20" t="str">
        <x:v>No</x:v>
      </x:c>
      <x:c r="N105" s="92"/>
      <x:c r="O105" s="92"/>
      <x:c r="P105" s="92"/>
      <x:c r="Q105" s="92"/>
      <x:c r="R105" s="151"/>
    </x:row>
    <x:row r="106" ht="22" customHeight="1">
      <x:c r="A106" s="59" t="str">
        <x:v>REQ-EPE-EPE1303-LEC-01</x:v>
      </x:c>
      <x:c r="B106" s="110" t="n">
        <x:v>1</x:v>
      </x:c>
      <x:c r="C106" s="110" t="n">
        <x:v>13</x:v>
      </x:c>
      <x:c r="D106" s="24" t="str">
        <x:v>Custom</x:v>
      </x:c>
      <x:c r="E106" s="93" t="str">
        <x:v>1,2,3,4,5,6,8,9,10,11,12,13</x:v>
      </x:c>
      <x:c r="F106" s="24" t="str">
        <x:v>Flexible</x:v>
      </x:c>
      <x:c r="G106" s="24"/>
      <x:c r="H106" s="24"/>
      <x:c r="I106" s="24"/>
      <x:c r="J106" s="24"/>
      <x:c r="K106" s="24"/>
      <x:c r="L106" s="24" t="str">
        <x:v>Normal</x:v>
      </x:c>
      <x:c r="M106" s="24" t="str">
        <x:v>No</x:v>
      </x:c>
      <x:c r="N106" s="93"/>
      <x:c r="O106" s="93"/>
      <x:c r="P106" s="93"/>
      <x:c r="Q106" s="93"/>
      <x:c r="R106" s="152"/>
    </x:row>
    <x:row r="107" ht="22" customHeight="1">
      <x:c r="A107" s="61" t="str">
        <x:v>REQ-EPE-EPE1303-TUT-02</x:v>
      </x:c>
      <x:c r="B107" s="112" t="n">
        <x:v>1</x:v>
      </x:c>
      <x:c r="C107" s="112" t="n">
        <x:v>13</x:v>
      </x:c>
      <x:c r="D107" s="30" t="str">
        <x:v>Custom</x:v>
      </x:c>
      <x:c r="E107" s="95" t="str">
        <x:v>1,2,3,4,5,6,8,9,10,11,12,13</x:v>
      </x:c>
      <x:c r="F107" s="30" t="str">
        <x:v>Flexible</x:v>
      </x:c>
      <x:c r="G107" s="30"/>
      <x:c r="H107" s="30"/>
      <x:c r="I107" s="30"/>
      <x:c r="J107" s="30"/>
      <x:c r="K107" s="30"/>
      <x:c r="L107" s="30" t="str">
        <x:v>Normal</x:v>
      </x:c>
      <x:c r="M107" s="30" t="str">
        <x:v>No</x:v>
      </x:c>
      <x:c r="N107" s="95"/>
      <x:c r="O107" s="95"/>
      <x:c r="P107" s="95"/>
      <x:c r="Q107" s="95"/>
      <x:c r="R107" s="154"/>
    </x:row>
    <x:row r="108" ht="22" customHeight="1">
      <x:c r="A108" s="62" t="str">
        <x:v>REQ-EPE-EPE3301-LEC-01</x:v>
      </x:c>
      <x:c r="B108" s="113" t="n">
        <x:v>1</x:v>
      </x:c>
      <x:c r="C108" s="113" t="n">
        <x:v>13</x:v>
      </x:c>
      <x:c r="D108" s="34" t="str">
        <x:v>Custom</x:v>
      </x:c>
      <x:c r="E108" s="96" t="str">
        <x:v>1,2,3,4,5,6,8,9,10,11,12,13</x:v>
      </x:c>
      <x:c r="F108" s="34" t="str">
        <x:v>Flexible</x:v>
      </x:c>
      <x:c r="G108" s="34"/>
      <x:c r="H108" s="34"/>
      <x:c r="I108" s="34"/>
      <x:c r="J108" s="34"/>
      <x:c r="K108" s="34"/>
      <x:c r="L108" s="34" t="str">
        <x:v>Normal</x:v>
      </x:c>
      <x:c r="M108" s="34" t="str">
        <x:v>No</x:v>
      </x:c>
      <x:c r="N108" s="96"/>
      <x:c r="O108" s="96"/>
      <x:c r="P108" s="96"/>
      <x:c r="Q108" s="96"/>
      <x:c r="R108" s="155"/>
    </x:row>
    <x:row r="109" ht="22" customHeight="1">
      <x:c r="A109" s="63" t="str">
        <x:v>REQ-EPE-EPE3301-TUT-02</x:v>
      </x:c>
      <x:c r="B109" s="114" t="n">
        <x:v>8</x:v>
      </x:c>
      <x:c r="C109" s="114" t="n">
        <x:v>13</x:v>
      </x:c>
      <x:c r="D109" s="37" t="str">
        <x:v>Custom</x:v>
      </x:c>
      <x:c r="E109" s="97" t="str">
        <x:v>8,9,10,11,12,13</x:v>
      </x:c>
      <x:c r="F109" s="37" t="str">
        <x:v>Flexible</x:v>
      </x:c>
      <x:c r="G109" s="37"/>
      <x:c r="H109" s="37"/>
      <x:c r="I109" s="37"/>
      <x:c r="J109" s="37"/>
      <x:c r="K109" s="37"/>
      <x:c r="L109" s="37" t="str">
        <x:v>Normal</x:v>
      </x:c>
      <x:c r="M109" s="37" t="str">
        <x:v>No</x:v>
      </x:c>
      <x:c r="N109" s="97"/>
      <x:c r="O109" s="97"/>
      <x:c r="P109" s="97"/>
      <x:c r="Q109" s="97"/>
      <x:c r="R109" s="156"/>
    </x:row>
    <x:row r="110" ht="22" customHeight="1">
      <x:c r="A110" s="64" t="str">
        <x:v>REQ-EPE-EPE3303A-WKS-01</x:v>
      </x:c>
      <x:c r="B110" s="115" t="n">
        <x:v>3</x:v>
      </x:c>
      <x:c r="C110" s="115" t="n">
        <x:v>8</x:v>
      </x:c>
      <x:c r="D110" s="41" t="str">
        <x:v>Custom</x:v>
      </x:c>
      <x:c r="E110" s="98" t="str">
        <x:v>3,5,8</x:v>
      </x:c>
      <x:c r="F110" s="41" t="str">
        <x:v>Flexible</x:v>
      </x:c>
      <x:c r="G110" s="41"/>
      <x:c r="H110" s="41"/>
      <x:c r="I110" s="41"/>
      <x:c r="J110" s="41"/>
      <x:c r="K110" s="41"/>
      <x:c r="L110" s="41" t="str">
        <x:v>Normal</x:v>
      </x:c>
      <x:c r="M110" s="41" t="str">
        <x:v>No</x:v>
      </x:c>
      <x:c r="N110" s="98"/>
      <x:c r="O110" s="98"/>
      <x:c r="P110" s="98"/>
      <x:c r="Q110" s="98"/>
      <x:c r="R110" s="157"/>
    </x:row>
    <x:row r="111" ht="22" customHeight="1">
      <x:c r="A111" s="65" t="str">
        <x:v>REQ-EPE-EPE3303A-SEM-02</x:v>
      </x:c>
      <x:c r="B111" s="116" t="n">
        <x:v>1</x:v>
      </x:c>
      <x:c r="C111" s="116" t="n">
        <x:v>12</x:v>
      </x:c>
      <x:c r="D111" s="44" t="str">
        <x:v>Custom</x:v>
      </x:c>
      <x:c r="E111" s="99" t="str">
        <x:v>1,2,3,4,5,6,8,9,10,11,12</x:v>
      </x:c>
      <x:c r="F111" s="44" t="str">
        <x:v>Flexible</x:v>
      </x:c>
      <x:c r="G111" s="44"/>
      <x:c r="H111" s="44"/>
      <x:c r="I111" s="44"/>
      <x:c r="J111" s="44"/>
      <x:c r="K111" s="44"/>
      <x:c r="L111" s="44" t="str">
        <x:v>Normal</x:v>
      </x:c>
      <x:c r="M111" s="44" t="str">
        <x:v>No</x:v>
      </x:c>
      <x:c r="N111" s="99"/>
      <x:c r="O111" s="99"/>
      <x:c r="P111" s="99"/>
      <x:c r="Q111" s="99"/>
      <x:c r="R111" s="158"/>
    </x:row>
    <x:row r="112" ht="22" customHeight="1">
      <x:c r="A112" s="55" t="str">
        <x:v>REQ-ESE-ESE1101-LEC-01</x:v>
      </x:c>
      <x:c r="B112" s="106" t="n">
        <x:v>1</x:v>
      </x:c>
      <x:c r="C112" s="106" t="n">
        <x:v>5</x:v>
      </x:c>
      <x:c r="D112" s="10" t="str">
        <x:v>Custom</x:v>
      </x:c>
      <x:c r="E112" s="89" t="str">
        <x:v>1,2,3,4,5</x:v>
      </x:c>
      <x:c r="F112" s="10" t="str">
        <x:v>Flexible</x:v>
      </x:c>
      <x:c r="G112" s="10"/>
      <x:c r="H112" s="10"/>
      <x:c r="I112" s="10"/>
      <x:c r="J112" s="10"/>
      <x:c r="K112" s="10"/>
      <x:c r="L112" s="10" t="str">
        <x:v>Normal</x:v>
      </x:c>
      <x:c r="M112" s="10" t="str">
        <x:v>No</x:v>
      </x:c>
      <x:c r="N112" s="89"/>
      <x:c r="O112" s="89"/>
      <x:c r="P112" s="89"/>
      <x:c r="Q112" s="89"/>
      <x:c r="R112" s="148"/>
    </x:row>
    <x:row r="113" ht="22" customHeight="1">
      <x:c r="A113" s="66" t="str">
        <x:v>REQ-ESE-ESE1101-LEC-02B</x:v>
      </x:c>
      <x:c r="B113" s="117" t="n">
        <x:v>1</x:v>
      </x:c>
      <x:c r="C113" s="117" t="n">
        <x:v>5</x:v>
      </x:c>
      <x:c r="D113" s="47" t="str">
        <x:v>Custom</x:v>
      </x:c>
      <x:c r="E113" s="100" t="str">
        <x:v>1,2,3,4,5</x:v>
      </x:c>
      <x:c r="F113" s="47" t="str">
        <x:v>Flexible</x:v>
      </x:c>
      <x:c r="G113" s="47"/>
      <x:c r="H113" s="47"/>
      <x:c r="I113" s="47"/>
      <x:c r="J113" s="47"/>
      <x:c r="K113" s="47"/>
      <x:c r="L113" s="47" t="str">
        <x:v>Normal</x:v>
      </x:c>
      <x:c r="M113" s="47" t="str">
        <x:v>No</x:v>
      </x:c>
      <x:c r="N113" s="100"/>
      <x:c r="O113" s="100"/>
      <x:c r="P113" s="100"/>
      <x:c r="Q113" s="100"/>
      <x:c r="R113" s="159"/>
    </x:row>
    <x:row r="114" ht="22" customHeight="1">
      <x:c r="A114" s="66" t="str">
        <x:v>REQ-ESE-ESE1101-TUT-03</x:v>
      </x:c>
      <x:c r="B114" s="117" t="n">
        <x:v>1</x:v>
      </x:c>
      <x:c r="C114" s="117" t="n">
        <x:v>5</x:v>
      </x:c>
      <x:c r="D114" s="47" t="str">
        <x:v>Custom</x:v>
      </x:c>
      <x:c r="E114" s="100" t="str">
        <x:v>1,2,3,4,5</x:v>
      </x:c>
      <x:c r="F114" s="47" t="str">
        <x:v>Flexible</x:v>
      </x:c>
      <x:c r="G114" s="47"/>
      <x:c r="H114" s="47"/>
      <x:c r="I114" s="47"/>
      <x:c r="J114" s="47"/>
      <x:c r="K114" s="47"/>
      <x:c r="L114" s="47" t="str">
        <x:v>Normal</x:v>
      </x:c>
      <x:c r="M114" s="47" t="str">
        <x:v>No</x:v>
      </x:c>
      <x:c r="N114" s="100"/>
      <x:c r="O114" s="100"/>
      <x:c r="P114" s="100"/>
      <x:c r="Q114" s="100"/>
      <x:c r="R114" s="159"/>
    </x:row>
    <x:row r="115" ht="22" customHeight="1">
      <x:c r="A115" s="66" t="str">
        <x:v>REQ-ESE-ESE1101-TUT-04B</x:v>
      </x:c>
      <x:c r="B115" s="117" t="n">
        <x:v>1</x:v>
      </x:c>
      <x:c r="C115" s="117" t="n">
        <x:v>5</x:v>
      </x:c>
      <x:c r="D115" s="47" t="str">
        <x:v>Custom</x:v>
      </x:c>
      <x:c r="E115" s="100" t="str">
        <x:v>1,2,3,4,5</x:v>
      </x:c>
      <x:c r="F115" s="47" t="str">
        <x:v>Flexible</x:v>
      </x:c>
      <x:c r="G115" s="47"/>
      <x:c r="H115" s="47"/>
      <x:c r="I115" s="47"/>
      <x:c r="J115" s="47"/>
      <x:c r="K115" s="47"/>
      <x:c r="L115" s="47" t="str">
        <x:v>Normal</x:v>
      </x:c>
      <x:c r="M115" s="47" t="str">
        <x:v>No</x:v>
      </x:c>
      <x:c r="N115" s="100"/>
      <x:c r="O115" s="100"/>
      <x:c r="P115" s="100"/>
      <x:c r="Q115" s="100"/>
      <x:c r="R115" s="159"/>
    </x:row>
    <x:row r="116" ht="22" customHeight="1">
      <x:c r="A116" s="56" t="str">
        <x:v>REQ-ESE-ESE1101-QZ-05</x:v>
      </x:c>
      <x:c r="B116" s="107" t="n">
        <x:v>6</x:v>
      </x:c>
      <x:c r="C116" s="107" t="n">
        <x:v>6</x:v>
      </x:c>
      <x:c r="D116" s="13" t="str">
        <x:v>Custom</x:v>
      </x:c>
      <x:c r="E116" s="90" t="str">
        <x:v>6</x:v>
      </x:c>
      <x:c r="F116" s="13" t="str">
        <x:v>Flexible</x:v>
      </x:c>
      <x:c r="G116" s="13"/>
      <x:c r="H116" s="13"/>
      <x:c r="I116" s="13"/>
      <x:c r="J116" s="13"/>
      <x:c r="K116" s="13"/>
      <x:c r="L116" s="13" t="str">
        <x:v>Normal</x:v>
      </x:c>
      <x:c r="M116" s="13" t="str">
        <x:v>No</x:v>
      </x:c>
      <x:c r="N116" s="90"/>
      <x:c r="O116" s="90"/>
      <x:c r="P116" s="90"/>
      <x:c r="Q116" s="90"/>
      <x:c r="R116" s="149"/>
    </x:row>
    <x:row r="117" ht="22" customHeight="1">
      <x:c r="A117" s="57" t="str">
        <x:v>REQ-ESE-ESE1109-LEC-01</x:v>
      </x:c>
      <x:c r="B117" s="108" t="n">
        <x:v>1</x:v>
      </x:c>
      <x:c r="C117" s="108" t="n">
        <x:v>13</x:v>
      </x:c>
      <x:c r="D117" s="17" t="str">
        <x:v>Custom</x:v>
      </x:c>
      <x:c r="E117" s="91" t="str">
        <x:v>1,2,3,4,5,6,8,9,10,11,13</x:v>
      </x:c>
      <x:c r="F117" s="17" t="str">
        <x:v>Flexible</x:v>
      </x:c>
      <x:c r="G117" s="17"/>
      <x:c r="H117" s="17"/>
      <x:c r="I117" s="17"/>
      <x:c r="J117" s="17"/>
      <x:c r="K117" s="17"/>
      <x:c r="L117" s="17" t="str">
        <x:v>Normal</x:v>
      </x:c>
      <x:c r="M117" s="17" t="str">
        <x:v>No</x:v>
      </x:c>
      <x:c r="N117" s="91"/>
      <x:c r="O117" s="91"/>
      <x:c r="P117" s="91"/>
      <x:c r="Q117" s="91"/>
      <x:c r="R117" s="150"/>
    </x:row>
    <x:row r="118" ht="22" customHeight="1">
      <x:c r="A118" s="58" t="str">
        <x:v>REQ-ESE-ESE1109-TUT-02</x:v>
      </x:c>
      <x:c r="B118" s="109" t="n">
        <x:v>1</x:v>
      </x:c>
      <x:c r="C118" s="109" t="n">
        <x:v>13</x:v>
      </x:c>
      <x:c r="D118" s="20" t="str">
        <x:v>Custom</x:v>
      </x:c>
      <x:c r="E118" s="92" t="str">
        <x:v>1,2,3,4,5,6,8,9,10,11,13</x:v>
      </x:c>
      <x:c r="F118" s="20" t="str">
        <x:v>Flexible</x:v>
      </x:c>
      <x:c r="G118" s="20"/>
      <x:c r="H118" s="20"/>
      <x:c r="I118" s="20"/>
      <x:c r="J118" s="20"/>
      <x:c r="K118" s="20"/>
      <x:c r="L118" s="20" t="str">
        <x:v>Normal</x:v>
      </x:c>
      <x:c r="M118" s="20" t="str">
        <x:v>No</x:v>
      </x:c>
      <x:c r="N118" s="92"/>
      <x:c r="O118" s="92"/>
      <x:c r="P118" s="92"/>
      <x:c r="Q118" s="92"/>
      <x:c r="R118" s="151"/>
    </x:row>
    <x:row r="119" ht="22" customHeight="1">
      <x:c r="A119" s="59" t="str">
        <x:v>REQ-ESE-ESE2103-LEC-01</x:v>
      </x:c>
      <x:c r="B119" s="110" t="n">
        <x:v>1</x:v>
      </x:c>
      <x:c r="C119" s="110" t="n">
        <x:v>1</x:v>
      </x:c>
      <x:c r="D119" s="24" t="str">
        <x:v>Custom</x:v>
      </x:c>
      <x:c r="E119" s="93" t="str">
        <x:v>1</x:v>
      </x:c>
      <x:c r="F119" s="24" t="str">
        <x:v>Flexible</x:v>
      </x:c>
      <x:c r="G119" s="24"/>
      <x:c r="H119" s="24"/>
      <x:c r="I119" s="24"/>
      <x:c r="J119" s="24"/>
      <x:c r="K119" s="24"/>
      <x:c r="L119" s="24" t="str">
        <x:v>Normal</x:v>
      </x:c>
      <x:c r="M119" s="24" t="str">
        <x:v>No</x:v>
      </x:c>
      <x:c r="N119" s="93"/>
      <x:c r="O119" s="93"/>
      <x:c r="P119" s="93"/>
      <x:c r="Q119" s="93"/>
      <x:c r="R119" s="152"/>
    </x:row>
    <x:row r="120" ht="22" customHeight="1">
      <x:c r="A120" s="61" t="str">
        <x:v>REQ-ESE-ESE2103-TUT-02</x:v>
      </x:c>
      <x:c r="B120" s="112" t="n">
        <x:v>8</x:v>
      </x:c>
      <x:c r="C120" s="112" t="n">
        <x:v>13</x:v>
      </x:c>
      <x:c r="D120" s="30" t="str">
        <x:v>Custom</x:v>
      </x:c>
      <x:c r="E120" s="95" t="str">
        <x:v>8,9,10,11,12,13</x:v>
      </x:c>
      <x:c r="F120" s="30" t="str">
        <x:v>Flexible</x:v>
      </x:c>
      <x:c r="G120" s="30"/>
      <x:c r="H120" s="30"/>
      <x:c r="I120" s="30"/>
      <x:c r="J120" s="30"/>
      <x:c r="K120" s="30"/>
      <x:c r="L120" s="30" t="str">
        <x:v>Normal</x:v>
      </x:c>
      <x:c r="M120" s="30" t="str">
        <x:v>No</x:v>
      </x:c>
      <x:c r="N120" s="95"/>
      <x:c r="O120" s="95"/>
      <x:c r="P120" s="95"/>
      <x:c r="Q120" s="95"/>
      <x:c r="R120" s="154"/>
    </x:row>
    <x:row r="121" ht="22" customHeight="1">
      <x:c r="A121" s="62" t="str">
        <x:v>REQ-ESE-ESE3103-LEC-01</x:v>
      </x:c>
      <x:c r="B121" s="113" t="n">
        <x:v>1</x:v>
      </x:c>
      <x:c r="C121" s="113" t="n">
        <x:v>13</x:v>
      </x:c>
      <x:c r="D121" s="34" t="str">
        <x:v>Custom</x:v>
      </x:c>
      <x:c r="E121" s="96" t="str">
        <x:v>1,2,3,4,5,6,8,9,10,11,12,13</x:v>
      </x:c>
      <x:c r="F121" s="34" t="str">
        <x:v>Flexible</x:v>
      </x:c>
      <x:c r="G121" s="34"/>
      <x:c r="H121" s="34"/>
      <x:c r="I121" s="34"/>
      <x:c r="J121" s="34"/>
      <x:c r="K121" s="34"/>
      <x:c r="L121" s="34" t="str">
        <x:v>Normal</x:v>
      </x:c>
      <x:c r="M121" s="34" t="str">
        <x:v>No</x:v>
      </x:c>
      <x:c r="N121" s="96"/>
      <x:c r="O121" s="96"/>
      <x:c r="P121" s="96"/>
      <x:c r="Q121" s="96"/>
      <x:c r="R121" s="155"/>
    </x:row>
    <x:row r="122" ht="22" customHeight="1">
      <x:c r="A122" s="63" t="str">
        <x:v>REQ-ESE-ESE3103-TUT-02</x:v>
      </x:c>
      <x:c r="B122" s="114" t="n">
        <x:v>1</x:v>
      </x:c>
      <x:c r="C122" s="114" t="n">
        <x:v>13</x:v>
      </x:c>
      <x:c r="D122" s="37" t="str">
        <x:v>Custom</x:v>
      </x:c>
      <x:c r="E122" s="97" t="str">
        <x:v>1,2,3,4,5,6,8,9,10,11,12,13</x:v>
      </x:c>
      <x:c r="F122" s="37" t="str">
        <x:v>Flexible</x:v>
      </x:c>
      <x:c r="G122" s="37"/>
      <x:c r="H122" s="37"/>
      <x:c r="I122" s="37"/>
      <x:c r="J122" s="37"/>
      <x:c r="K122" s="37"/>
      <x:c r="L122" s="37" t="str">
        <x:v>Normal</x:v>
      </x:c>
      <x:c r="M122" s="37" t="str">
        <x:v>No</x:v>
      </x:c>
      <x:c r="N122" s="97"/>
      <x:c r="O122" s="97"/>
      <x:c r="P122" s="97"/>
      <x:c r="Q122" s="97"/>
      <x:c r="R122" s="156"/>
    </x:row>
    <x:row r="123" ht="22" customHeight="1">
      <x:c r="A123" s="64" t="str">
        <x:v>REQ-ESE-ESE3104-LEC-01</x:v>
      </x:c>
      <x:c r="B123" s="115" t="n">
        <x:v>1</x:v>
      </x:c>
      <x:c r="C123" s="115" t="n">
        <x:v>13</x:v>
      </x:c>
      <x:c r="D123" s="41" t="str">
        <x:v>Custom</x:v>
      </x:c>
      <x:c r="E123" s="98" t="str">
        <x:v>1,2,3,4,5,6,8,9,10,11,12,13</x:v>
      </x:c>
      <x:c r="F123" s="41" t="str">
        <x:v>Flexible</x:v>
      </x:c>
      <x:c r="G123" s="41"/>
      <x:c r="H123" s="41"/>
      <x:c r="I123" s="41"/>
      <x:c r="J123" s="41"/>
      <x:c r="K123" s="41"/>
      <x:c r="L123" s="41" t="str">
        <x:v>Normal</x:v>
      </x:c>
      <x:c r="M123" s="41" t="str">
        <x:v>No</x:v>
      </x:c>
      <x:c r="N123" s="98"/>
      <x:c r="O123" s="98"/>
      <x:c r="P123" s="98"/>
      <x:c r="Q123" s="98"/>
      <x:c r="R123" s="157"/>
    </x:row>
    <x:row r="124" ht="22" customHeight="1">
      <x:c r="A124" s="65" t="str">
        <x:v>REQ-ESE-ESE3104-TUT-02</x:v>
      </x:c>
      <x:c r="B124" s="116" t="n">
        <x:v>4</x:v>
      </x:c>
      <x:c r="C124" s="116" t="n">
        <x:v>13</x:v>
      </x:c>
      <x:c r="D124" s="44" t="str">
        <x:v>Custom</x:v>
      </x:c>
      <x:c r="E124" s="99" t="str">
        <x:v>4,8,12,13</x:v>
      </x:c>
      <x:c r="F124" s="44" t="str">
        <x:v>Flexible</x:v>
      </x:c>
      <x:c r="G124" s="44"/>
      <x:c r="H124" s="44"/>
      <x:c r="I124" s="44"/>
      <x:c r="J124" s="44"/>
      <x:c r="K124" s="44"/>
      <x:c r="L124" s="44" t="str">
        <x:v>Normal</x:v>
      </x:c>
      <x:c r="M124" s="44" t="str">
        <x:v>No</x:v>
      </x:c>
      <x:c r="N124" s="99"/>
      <x:c r="O124" s="99"/>
      <x:c r="P124" s="99"/>
      <x:c r="Q124" s="99"/>
      <x:c r="R124" s="158"/>
    </x:row>
    <x:row r="125" ht="22" customHeight="1">
      <x:c r="A125" s="55" t="str">
        <x:v>REQ-FDT-FDT1012-LCT-01</x:v>
      </x:c>
      <x:c r="B125" s="106" t="n">
        <x:v>8</x:v>
      </x:c>
      <x:c r="C125" s="106" t="n">
        <x:v>13</x:v>
      </x:c>
      <x:c r="D125" s="10" t="str">
        <x:v>Custom</x:v>
      </x:c>
      <x:c r="E125" s="89" t="str">
        <x:v>8,10,12,13</x:v>
      </x:c>
      <x:c r="F125" s="10" t="str">
        <x:v>Flexible</x:v>
      </x:c>
      <x:c r="G125" s="10"/>
      <x:c r="H125" s="10"/>
      <x:c r="I125" s="10"/>
      <x:c r="J125" s="10"/>
      <x:c r="K125" s="10"/>
      <x:c r="L125" s="10" t="str">
        <x:v>Normal</x:v>
      </x:c>
      <x:c r="M125" s="10" t="str">
        <x:v>No</x:v>
      </x:c>
      <x:c r="N125" s="89"/>
      <x:c r="O125" s="89"/>
      <x:c r="P125" s="89"/>
      <x:c r="Q125" s="89"/>
      <x:c r="R125" s="148"/>
    </x:row>
    <x:row r="126" ht="22" customHeight="1">
      <x:c r="A126" s="66" t="str">
        <x:v>REQ-FDT-FDT1012-TUT-02</x:v>
      </x:c>
      <x:c r="B126" s="117" t="n">
        <x:v>1</x:v>
      </x:c>
      <x:c r="C126" s="117" t="n">
        <x:v>12</x:v>
      </x:c>
      <x:c r="D126" s="47" t="str">
        <x:v>Custom</x:v>
      </x:c>
      <x:c r="E126" s="100" t="str">
        <x:v>1,2,3,4,5,6,8,9,10,11,12</x:v>
      </x:c>
      <x:c r="F126" s="47" t="str">
        <x:v>Flexible</x:v>
      </x:c>
      <x:c r="G126" s="47"/>
      <x:c r="H126" s="47"/>
      <x:c r="I126" s="47"/>
      <x:c r="J126" s="47"/>
      <x:c r="K126" s="47"/>
      <x:c r="L126" s="47" t="str">
        <x:v>Normal</x:v>
      </x:c>
      <x:c r="M126" s="47" t="str">
        <x:v>No</x:v>
      </x:c>
      <x:c r="N126" s="100"/>
      <x:c r="O126" s="100"/>
      <x:c r="P126" s="100"/>
      <x:c r="Q126" s="100"/>
      <x:c r="R126" s="159"/>
    </x:row>
    <x:row r="127" ht="22" customHeight="1">
      <x:c r="A127" s="56" t="str">
        <x:v>REQ-FDT-FDT1012-QZ-03</x:v>
      </x:c>
      <x:c r="B127" s="107" t="n">
        <x:v>12</x:v>
      </x:c>
      <x:c r="C127" s="107" t="n">
        <x:v>12</x:v>
      </x:c>
      <x:c r="D127" s="13" t="str">
        <x:v>Custom</x:v>
      </x:c>
      <x:c r="E127" s="90" t="str">
        <x:v>12</x:v>
      </x:c>
      <x:c r="F127" s="13" t="str">
        <x:v>Flexible</x:v>
      </x:c>
      <x:c r="G127" s="13"/>
      <x:c r="H127" s="13"/>
      <x:c r="I127" s="13"/>
      <x:c r="J127" s="13"/>
      <x:c r="K127" s="13"/>
      <x:c r="L127" s="13" t="str">
        <x:v>Normal</x:v>
      </x:c>
      <x:c r="M127" s="13" t="str">
        <x:v>No</x:v>
      </x:c>
      <x:c r="N127" s="90"/>
      <x:c r="O127" s="90"/>
      <x:c r="P127" s="90"/>
      <x:c r="Q127" s="90"/>
      <x:c r="R127" s="149"/>
    </x:row>
    <x:row r="128" ht="22" customHeight="1">
      <x:c r="A128" s="57" t="str">
        <x:v>REQ-FDT-FDT1013-LCT-01</x:v>
      </x:c>
      <x:c r="B128" s="108" t="n">
        <x:v>8</x:v>
      </x:c>
      <x:c r="C128" s="108" t="n">
        <x:v>13</x:v>
      </x:c>
      <x:c r="D128" s="17" t="str">
        <x:v>Custom</x:v>
      </x:c>
      <x:c r="E128" s="91" t="str">
        <x:v>8,10,12,13</x:v>
      </x:c>
      <x:c r="F128" s="17" t="str">
        <x:v>Flexible</x:v>
      </x:c>
      <x:c r="G128" s="17"/>
      <x:c r="H128" s="17"/>
      <x:c r="I128" s="17"/>
      <x:c r="J128" s="17"/>
      <x:c r="K128" s="17"/>
      <x:c r="L128" s="17" t="str">
        <x:v>Normal</x:v>
      </x:c>
      <x:c r="M128" s="17" t="str">
        <x:v>No</x:v>
      </x:c>
      <x:c r="N128" s="91"/>
      <x:c r="O128" s="91"/>
      <x:c r="P128" s="91"/>
      <x:c r="Q128" s="91"/>
      <x:c r="R128" s="150"/>
    </x:row>
    <x:row r="129" ht="22" customHeight="1">
      <x:c r="A129" s="58" t="str">
        <x:v>REQ-FDT-FDT1013-TUT-02</x:v>
      </x:c>
      <x:c r="B129" s="109" t="n">
        <x:v>1</x:v>
      </x:c>
      <x:c r="C129" s="109" t="n">
        <x:v>12</x:v>
      </x:c>
      <x:c r="D129" s="20" t="str">
        <x:v>Custom</x:v>
      </x:c>
      <x:c r="E129" s="92" t="str">
        <x:v>1,2,3,4,5,6,8,9,10,11,12</x:v>
      </x:c>
      <x:c r="F129" s="20" t="str">
        <x:v>Flexible</x:v>
      </x:c>
      <x:c r="G129" s="20"/>
      <x:c r="H129" s="20"/>
      <x:c r="I129" s="20"/>
      <x:c r="J129" s="20"/>
      <x:c r="K129" s="20"/>
      <x:c r="L129" s="20" t="str">
        <x:v>Normal</x:v>
      </x:c>
      <x:c r="M129" s="20" t="str">
        <x:v>No</x:v>
      </x:c>
      <x:c r="N129" s="92"/>
      <x:c r="O129" s="92"/>
      <x:c r="P129" s="92"/>
      <x:c r="Q129" s="92"/>
      <x:c r="R129" s="151"/>
    </x:row>
    <x:row r="130" ht="22" customHeight="1">
      <x:c r="A130" s="59" t="str">
        <x:v>REQ-FDT-FDT1021-LCT-01</x:v>
      </x:c>
      <x:c r="B130" s="110" t="n">
        <x:v>8</x:v>
      </x:c>
      <x:c r="C130" s="110" t="n">
        <x:v>13</x:v>
      </x:c>
      <x:c r="D130" s="24" t="str">
        <x:v>Custom</x:v>
      </x:c>
      <x:c r="E130" s="93" t="str">
        <x:v>8,10,12,13</x:v>
      </x:c>
      <x:c r="F130" s="24" t="str">
        <x:v>Flexible</x:v>
      </x:c>
      <x:c r="G130" s="24"/>
      <x:c r="H130" s="24"/>
      <x:c r="I130" s="24"/>
      <x:c r="J130" s="24"/>
      <x:c r="K130" s="24"/>
      <x:c r="L130" s="24" t="str">
        <x:v>Normal</x:v>
      </x:c>
      <x:c r="M130" s="24" t="str">
        <x:v>No</x:v>
      </x:c>
      <x:c r="N130" s="93"/>
      <x:c r="O130" s="93"/>
      <x:c r="P130" s="93"/>
      <x:c r="Q130" s="93"/>
      <x:c r="R130" s="152"/>
    </x:row>
    <x:row r="131" ht="22" customHeight="1">
      <x:c r="A131" s="61" t="str">
        <x:v>REQ-FDT-FDT1021-TUT-02</x:v>
      </x:c>
      <x:c r="B131" s="112" t="n">
        <x:v>1</x:v>
      </x:c>
      <x:c r="C131" s="112" t="n">
        <x:v>12</x:v>
      </x:c>
      <x:c r="D131" s="30" t="str">
        <x:v>Custom</x:v>
      </x:c>
      <x:c r="E131" s="95" t="str">
        <x:v>1,2,3,4,5,6,8,9,10,11,12</x:v>
      </x:c>
      <x:c r="F131" s="30" t="str">
        <x:v>Flexible</x:v>
      </x:c>
      <x:c r="G131" s="30"/>
      <x:c r="H131" s="30"/>
      <x:c r="I131" s="30"/>
      <x:c r="J131" s="30"/>
      <x:c r="K131" s="30"/>
      <x:c r="L131" s="30" t="str">
        <x:v>Normal</x:v>
      </x:c>
      <x:c r="M131" s="30" t="str">
        <x:v>No</x:v>
      </x:c>
      <x:c r="N131" s="95"/>
      <x:c r="O131" s="95"/>
      <x:c r="P131" s="95"/>
      <x:c r="Q131" s="95"/>
      <x:c r="R131" s="154"/>
    </x:row>
    <x:row r="132" ht="22" customHeight="1">
      <x:c r="A132" s="62" t="str">
        <x:v>REQ-FDT-FDT2011-LCT-01</x:v>
      </x:c>
      <x:c r="B132" s="113" t="n">
        <x:v>8</x:v>
      </x:c>
      <x:c r="C132" s="113" t="n">
        <x:v>13</x:v>
      </x:c>
      <x:c r="D132" s="34" t="str">
        <x:v>Custom</x:v>
      </x:c>
      <x:c r="E132" s="96" t="str">
        <x:v>8,10,12,13</x:v>
      </x:c>
      <x:c r="F132" s="34" t="str">
        <x:v>Flexible</x:v>
      </x:c>
      <x:c r="G132" s="34"/>
      <x:c r="H132" s="34"/>
      <x:c r="I132" s="34"/>
      <x:c r="J132" s="34"/>
      <x:c r="K132" s="34"/>
      <x:c r="L132" s="34" t="str">
        <x:v>Normal</x:v>
      </x:c>
      <x:c r="M132" s="34" t="str">
        <x:v>No</x:v>
      </x:c>
      <x:c r="N132" s="96"/>
      <x:c r="O132" s="96"/>
      <x:c r="P132" s="96"/>
      <x:c r="Q132" s="96"/>
      <x:c r="R132" s="155"/>
    </x:row>
    <x:row r="133" ht="22" customHeight="1">
      <x:c r="A133" s="63" t="str">
        <x:v>REQ-FDT-FDT2011-TUT-02</x:v>
      </x:c>
      <x:c r="B133" s="114" t="n">
        <x:v>1</x:v>
      </x:c>
      <x:c r="C133" s="114" t="n">
        <x:v>12</x:v>
      </x:c>
      <x:c r="D133" s="37" t="str">
        <x:v>Custom</x:v>
      </x:c>
      <x:c r="E133" s="97" t="str">
        <x:v>1,2,3,4,5,6,8,9,10,11,12</x:v>
      </x:c>
      <x:c r="F133" s="37" t="str">
        <x:v>Flexible</x:v>
      </x:c>
      <x:c r="G133" s="37"/>
      <x:c r="H133" s="37"/>
      <x:c r="I133" s="37"/>
      <x:c r="J133" s="37"/>
      <x:c r="K133" s="37"/>
      <x:c r="L133" s="37" t="str">
        <x:v>Normal</x:v>
      </x:c>
      <x:c r="M133" s="37" t="str">
        <x:v>No</x:v>
      </x:c>
      <x:c r="N133" s="97"/>
      <x:c r="O133" s="97"/>
      <x:c r="P133" s="97"/>
      <x:c r="Q133" s="97"/>
      <x:c r="R133" s="156"/>
    </x:row>
    <x:row r="134" ht="22" customHeight="1">
      <x:c r="A134" s="64" t="str">
        <x:v>REQ-FDT-FDT2013-LCT-01</x:v>
      </x:c>
      <x:c r="B134" s="115" t="n">
        <x:v>8</x:v>
      </x:c>
      <x:c r="C134" s="115" t="n">
        <x:v>13</x:v>
      </x:c>
      <x:c r="D134" s="41" t="str">
        <x:v>Custom</x:v>
      </x:c>
      <x:c r="E134" s="98" t="str">
        <x:v>8,10,12,13</x:v>
      </x:c>
      <x:c r="F134" s="41" t="str">
        <x:v>Flexible</x:v>
      </x:c>
      <x:c r="G134" s="41"/>
      <x:c r="H134" s="41"/>
      <x:c r="I134" s="41"/>
      <x:c r="J134" s="41"/>
      <x:c r="K134" s="41"/>
      <x:c r="L134" s="41" t="str">
        <x:v>Normal</x:v>
      </x:c>
      <x:c r="M134" s="41" t="str">
        <x:v>No</x:v>
      </x:c>
      <x:c r="N134" s="98"/>
      <x:c r="O134" s="98"/>
      <x:c r="P134" s="98"/>
      <x:c r="Q134" s="98"/>
      <x:c r="R134" s="157"/>
    </x:row>
    <x:row r="135" ht="22" customHeight="1">
      <x:c r="A135" s="65" t="str">
        <x:v>REQ-FDT-FDT2013-TUT-02</x:v>
      </x:c>
      <x:c r="B135" s="116" t="n">
        <x:v>1</x:v>
      </x:c>
      <x:c r="C135" s="116" t="n">
        <x:v>12</x:v>
      </x:c>
      <x:c r="D135" s="44" t="str">
        <x:v>Custom</x:v>
      </x:c>
      <x:c r="E135" s="99" t="str">
        <x:v>1,2,3,4,5,6,8,9,10,11,12</x:v>
      </x:c>
      <x:c r="F135" s="44" t="str">
        <x:v>Flexible</x:v>
      </x:c>
      <x:c r="G135" s="44"/>
      <x:c r="H135" s="44"/>
      <x:c r="I135" s="44"/>
      <x:c r="J135" s="44"/>
      <x:c r="K135" s="44"/>
      <x:c r="L135" s="44" t="str">
        <x:v>Normal</x:v>
      </x:c>
      <x:c r="M135" s="44" t="str">
        <x:v>No</x:v>
      </x:c>
      <x:c r="N135" s="99"/>
      <x:c r="O135" s="99"/>
      <x:c r="P135" s="99"/>
      <x:c r="Q135" s="99"/>
      <x:c r="R135" s="158"/>
    </x:row>
    <x:row r="136" ht="22" customHeight="1">
      <x:c r="A136" s="55" t="str">
        <x:v>REQ-ICT-ICT1012-LEC-01</x:v>
      </x:c>
      <x:c r="B136" s="106" t="n">
        <x:v>1</x:v>
      </x:c>
      <x:c r="C136" s="106" t="n">
        <x:v>13</x:v>
      </x:c>
      <x:c r="D136" s="10" t="str">
        <x:v>Custom</x:v>
      </x:c>
      <x:c r="E136" s="89" t="str">
        <x:v>1,2,3,4,5,6,8,9,10,11,12,13</x:v>
      </x:c>
      <x:c r="F136" s="10" t="str">
        <x:v>Flexible</x:v>
      </x:c>
      <x:c r="G136" s="10"/>
      <x:c r="H136" s="10"/>
      <x:c r="I136" s="10"/>
      <x:c r="J136" s="10"/>
      <x:c r="K136" s="10"/>
      <x:c r="L136" s="10" t="str">
        <x:v>Normal</x:v>
      </x:c>
      <x:c r="M136" s="10" t="str">
        <x:v>No</x:v>
      </x:c>
      <x:c r="N136" s="89"/>
      <x:c r="O136" s="89"/>
      <x:c r="P136" s="89"/>
      <x:c r="Q136" s="89"/>
      <x:c r="R136" s="148"/>
    </x:row>
    <x:row r="137" ht="22" customHeight="1">
      <x:c r="A137" s="56" t="str">
        <x:v>REQ-ICT-ICT1012-TUT-02</x:v>
      </x:c>
      <x:c r="B137" s="107" t="n">
        <x:v>1</x:v>
      </x:c>
      <x:c r="C137" s="107" t="n">
        <x:v>12</x:v>
      </x:c>
      <x:c r="D137" s="13" t="str">
        <x:v>Custom</x:v>
      </x:c>
      <x:c r="E137" s="90" t="str">
        <x:v>1,2,3,4,5,6,8,9,10,11,12</x:v>
      </x:c>
      <x:c r="F137" s="13" t="str">
        <x:v>Flexible</x:v>
      </x:c>
      <x:c r="G137" s="13"/>
      <x:c r="H137" s="13"/>
      <x:c r="I137" s="13"/>
      <x:c r="J137" s="13"/>
      <x:c r="K137" s="13"/>
      <x:c r="L137" s="13" t="str">
        <x:v>Normal</x:v>
      </x:c>
      <x:c r="M137" s="13" t="str">
        <x:v>No</x:v>
      </x:c>
      <x:c r="N137" s="90"/>
      <x:c r="O137" s="90"/>
      <x:c r="P137" s="90"/>
      <x:c r="Q137" s="90"/>
      <x:c r="R137" s="149"/>
    </x:row>
    <x:row r="138" ht="22" customHeight="1">
      <x:c r="A138" s="57" t="str">
        <x:v>REQ-ICT-ICT1013-LCT-01</x:v>
      </x:c>
      <x:c r="B138" s="108" t="n">
        <x:v>1</x:v>
      </x:c>
      <x:c r="C138" s="108" t="n">
        <x:v>13</x:v>
      </x:c>
      <x:c r="D138" s="17" t="str">
        <x:v>Custom</x:v>
      </x:c>
      <x:c r="E138" s="91" t="str">
        <x:v>1,2,3,4,5,6,8,9,10,11,12,13</x:v>
      </x:c>
      <x:c r="F138" s="17" t="str">
        <x:v>Flexible</x:v>
      </x:c>
      <x:c r="G138" s="17"/>
      <x:c r="H138" s="17"/>
      <x:c r="I138" s="17"/>
      <x:c r="J138" s="17"/>
      <x:c r="K138" s="17"/>
      <x:c r="L138" s="17" t="str">
        <x:v>Normal</x:v>
      </x:c>
      <x:c r="M138" s="17" t="str">
        <x:v>No</x:v>
      </x:c>
      <x:c r="N138" s="91"/>
      <x:c r="O138" s="91"/>
      <x:c r="P138" s="91"/>
      <x:c r="Q138" s="91"/>
      <x:c r="R138" s="150"/>
    </x:row>
    <x:row r="139" ht="22" customHeight="1">
      <x:c r="A139" s="58" t="str">
        <x:v>REQ-ICT-ICT1013-TUT-02</x:v>
      </x:c>
      <x:c r="B139" s="109" t="n">
        <x:v>1</x:v>
      </x:c>
      <x:c r="C139" s="109" t="n">
        <x:v>12</x:v>
      </x:c>
      <x:c r="D139" s="20" t="str">
        <x:v>Custom</x:v>
      </x:c>
      <x:c r="E139" s="92" t="str">
        <x:v>1,2,3,4,5,6,8,9,10,11,12</x:v>
      </x:c>
      <x:c r="F139" s="20" t="str">
        <x:v>Flexible</x:v>
      </x:c>
      <x:c r="G139" s="20"/>
      <x:c r="H139" s="20"/>
      <x:c r="I139" s="20"/>
      <x:c r="J139" s="20"/>
      <x:c r="K139" s="20"/>
      <x:c r="L139" s="20" t="str">
        <x:v>Normal</x:v>
      </x:c>
      <x:c r="M139" s="20" t="str">
        <x:v>No</x:v>
      </x:c>
      <x:c r="N139" s="92"/>
      <x:c r="O139" s="92"/>
      <x:c r="P139" s="92"/>
      <x:c r="Q139" s="92"/>
      <x:c r="R139" s="151"/>
    </x:row>
    <x:row r="140" ht="22" customHeight="1">
      <x:c r="A140" s="59" t="str">
        <x:v>REQ-ICT-ICT2112-LEC-01</x:v>
      </x:c>
      <x:c r="B140" s="110" t="n">
        <x:v>1</x:v>
      </x:c>
      <x:c r="C140" s="110" t="n">
        <x:v>13</x:v>
      </x:c>
      <x:c r="D140" s="24" t="str">
        <x:v>Custom</x:v>
      </x:c>
      <x:c r="E140" s="93" t="str">
        <x:v>1,2,3,4,5,6,8,9,10,11,12,13</x:v>
      </x:c>
      <x:c r="F140" s="24" t="str">
        <x:v>Flexible</x:v>
      </x:c>
      <x:c r="G140" s="24"/>
      <x:c r="H140" s="24"/>
      <x:c r="I140" s="24"/>
      <x:c r="J140" s="24"/>
      <x:c r="K140" s="24"/>
      <x:c r="L140" s="24" t="str">
        <x:v>Normal</x:v>
      </x:c>
      <x:c r="M140" s="24" t="str">
        <x:v>No</x:v>
      </x:c>
      <x:c r="N140" s="93"/>
      <x:c r="O140" s="93"/>
      <x:c r="P140" s="93"/>
      <x:c r="Q140" s="93"/>
      <x:c r="R140" s="152"/>
    </x:row>
    <x:row r="141" ht="22" customHeight="1">
      <x:c r="A141" s="60" t="str">
        <x:v>REQ-ICT-ICT2112-TUT-02</x:v>
      </x:c>
      <x:c r="B141" s="111" t="n">
        <x:v>1</x:v>
      </x:c>
      <x:c r="C141" s="111" t="n">
        <x:v>12</x:v>
      </x:c>
      <x:c r="D141" s="27" t="str">
        <x:v>Custom</x:v>
      </x:c>
      <x:c r="E141" s="94" t="str">
        <x:v>1,2,3,4,5,6,8,9,10,11,12</x:v>
      </x:c>
      <x:c r="F141" s="27" t="str">
        <x:v>Flexible</x:v>
      </x:c>
      <x:c r="G141" s="27"/>
      <x:c r="H141" s="27"/>
      <x:c r="I141" s="27"/>
      <x:c r="J141" s="27"/>
      <x:c r="K141" s="27"/>
      <x:c r="L141" s="27" t="str">
        <x:v>Normal</x:v>
      </x:c>
      <x:c r="M141" s="27" t="str">
        <x:v>No</x:v>
      </x:c>
      <x:c r="N141" s="94"/>
      <x:c r="O141" s="94"/>
      <x:c r="P141" s="94"/>
      <x:c r="Q141" s="94"/>
      <x:c r="R141" s="153"/>
    </x:row>
    <x:row r="142" ht="22" customHeight="1">
      <x:c r="A142" s="61" t="str">
        <x:v>REQ-ICT-ICT2112-QZ-03</x:v>
      </x:c>
      <x:c r="B142" s="112" t="n">
        <x:v>6</x:v>
      </x:c>
      <x:c r="C142" s="112" t="n">
        <x:v>6</x:v>
      </x:c>
      <x:c r="D142" s="30" t="str">
        <x:v>Custom</x:v>
      </x:c>
      <x:c r="E142" s="95" t="str">
        <x:v>6</x:v>
      </x:c>
      <x:c r="F142" s="30" t="str">
        <x:v>Flexible</x:v>
      </x:c>
      <x:c r="G142" s="30"/>
      <x:c r="H142" s="30"/>
      <x:c r="I142" s="30"/>
      <x:c r="J142" s="30"/>
      <x:c r="K142" s="30"/>
      <x:c r="L142" s="30" t="str">
        <x:v>Normal</x:v>
      </x:c>
      <x:c r="M142" s="30" t="str">
        <x:v>No</x:v>
      </x:c>
      <x:c r="N142" s="95"/>
      <x:c r="O142" s="95"/>
      <x:c r="P142" s="95"/>
      <x:c r="Q142" s="95"/>
      <x:c r="R142" s="154"/>
    </x:row>
    <x:row r="143" ht="22" customHeight="1">
      <x:c r="A143" s="62" t="str">
        <x:v>REQ-ICT-ICT2113-WKS-01</x:v>
      </x:c>
      <x:c r="B143" s="113" t="n">
        <x:v>1</x:v>
      </x:c>
      <x:c r="C143" s="113" t="n">
        <x:v>13</x:v>
      </x:c>
      <x:c r="D143" s="34" t="str">
        <x:v>Custom</x:v>
      </x:c>
      <x:c r="E143" s="96" t="str">
        <x:v>1,2,3,4,5,6,8,9,10,11,12,13</x:v>
      </x:c>
      <x:c r="F143" s="34" t="str">
        <x:v>Flexible</x:v>
      </x:c>
      <x:c r="G143" s="34"/>
      <x:c r="H143" s="34"/>
      <x:c r="I143" s="34"/>
      <x:c r="J143" s="34"/>
      <x:c r="K143" s="34"/>
      <x:c r="L143" s="34" t="str">
        <x:v>Normal</x:v>
      </x:c>
      <x:c r="M143" s="34" t="str">
        <x:v>No</x:v>
      </x:c>
      <x:c r="N143" s="96"/>
      <x:c r="O143" s="96"/>
      <x:c r="P143" s="96"/>
      <x:c r="Q143" s="96"/>
      <x:c r="R143" s="155"/>
    </x:row>
    <x:row r="144" ht="22" customHeight="1">
      <x:c r="A144" s="63" t="str">
        <x:v>REQ-ICT-ICT2113-SEM-02</x:v>
      </x:c>
      <x:c r="B144" s="114" t="n">
        <x:v>1</x:v>
      </x:c>
      <x:c r="C144" s="114" t="n">
        <x:v>12</x:v>
      </x:c>
      <x:c r="D144" s="37" t="str">
        <x:v>Custom</x:v>
      </x:c>
      <x:c r="E144" s="97" t="str">
        <x:v>1,2,3,4,5,6,8,9,10,11,12</x:v>
      </x:c>
      <x:c r="F144" s="37" t="str">
        <x:v>Flexible</x:v>
      </x:c>
      <x:c r="G144" s="37"/>
      <x:c r="H144" s="37"/>
      <x:c r="I144" s="37"/>
      <x:c r="J144" s="37"/>
      <x:c r="K144" s="37"/>
      <x:c r="L144" s="37" t="str">
        <x:v>Normal</x:v>
      </x:c>
      <x:c r="M144" s="37" t="str">
        <x:v>No</x:v>
      </x:c>
      <x:c r="N144" s="97"/>
      <x:c r="O144" s="97"/>
      <x:c r="P144" s="97"/>
      <x:c r="Q144" s="97"/>
      <x:c r="R144" s="156"/>
    </x:row>
    <x:row r="145" ht="22" customHeight="1">
      <x:c r="A145" s="64" t="str">
        <x:v>REQ-ICT-ICT2114-LEC-01</x:v>
      </x:c>
      <x:c r="B145" s="115" t="n">
        <x:v>1</x:v>
      </x:c>
      <x:c r="C145" s="115" t="n">
        <x:v>13</x:v>
      </x:c>
      <x:c r="D145" s="41" t="str">
        <x:v>Custom</x:v>
      </x:c>
      <x:c r="E145" s="98" t="str">
        <x:v>1,2,3,4,5,6,8,9,10,11,12,13</x:v>
      </x:c>
      <x:c r="F145" s="41" t="str">
        <x:v>Flexible</x:v>
      </x:c>
      <x:c r="G145" s="41"/>
      <x:c r="H145" s="41"/>
      <x:c r="I145" s="41"/>
      <x:c r="J145" s="41"/>
      <x:c r="K145" s="41"/>
      <x:c r="L145" s="41" t="str">
        <x:v>Normal</x:v>
      </x:c>
      <x:c r="M145" s="41" t="str">
        <x:v>No</x:v>
      </x:c>
      <x:c r="N145" s="98"/>
      <x:c r="O145" s="98"/>
      <x:c r="P145" s="98"/>
      <x:c r="Q145" s="98"/>
      <x:c r="R145" s="157"/>
    </x:row>
    <x:row r="146" ht="22" customHeight="1">
      <x:c r="A146" s="65" t="str">
        <x:v>REQ-ICT-ICT2114-TUT-02</x:v>
      </x:c>
      <x:c r="B146" s="116" t="n">
        <x:v>1</x:v>
      </x:c>
      <x:c r="C146" s="116" t="n">
        <x:v>12</x:v>
      </x:c>
      <x:c r="D146" s="44" t="str">
        <x:v>Custom</x:v>
      </x:c>
      <x:c r="E146" s="99" t="str">
        <x:v>1,2,3,4,5,6,8,9,10,11,12</x:v>
      </x:c>
      <x:c r="F146" s="44" t="str">
        <x:v>Flexible</x:v>
      </x:c>
      <x:c r="G146" s="44"/>
      <x:c r="H146" s="44"/>
      <x:c r="I146" s="44"/>
      <x:c r="J146" s="44"/>
      <x:c r="K146" s="44"/>
      <x:c r="L146" s="44" t="str">
        <x:v>Normal</x:v>
      </x:c>
      <x:c r="M146" s="44" t="str">
        <x:v>No</x:v>
      </x:c>
      <x:c r="N146" s="99"/>
      <x:c r="O146" s="99"/>
      <x:c r="P146" s="99"/>
      <x:c r="Q146" s="99"/>
      <x:c r="R146" s="158"/>
    </x:row>
    <x:row r="147" ht="22" customHeight="1">
      <x:c r="A147" s="55" t="str">
        <x:v>REQ-MDME-MME1222-LEC-01</x:v>
      </x:c>
      <x:c r="B147" s="106" t="n">
        <x:v>8</x:v>
      </x:c>
      <x:c r="C147" s="106" t="n">
        <x:v>13</x:v>
      </x:c>
      <x:c r="D147" s="10" t="str">
        <x:v>Custom</x:v>
      </x:c>
      <x:c r="E147" s="89" t="str">
        <x:v>8,9,10,11,12,13</x:v>
      </x:c>
      <x:c r="F147" s="10" t="str">
        <x:v>Flexible</x:v>
      </x:c>
      <x:c r="G147" s="10"/>
      <x:c r="H147" s="10"/>
      <x:c r="I147" s="10"/>
      <x:c r="J147" s="10"/>
      <x:c r="K147" s="10"/>
      <x:c r="L147" s="10" t="str">
        <x:v>Normal</x:v>
      </x:c>
      <x:c r="M147" s="10" t="str">
        <x:v>No</x:v>
      </x:c>
      <x:c r="N147" s="89"/>
      <x:c r="O147" s="89"/>
      <x:c r="P147" s="89"/>
      <x:c r="Q147" s="89"/>
      <x:c r="R147" s="148"/>
    </x:row>
    <x:row r="148" ht="22" customHeight="1">
      <x:c r="A148" s="66" t="str">
        <x:v>REQ-MDME-MME1222-LCT-02</x:v>
      </x:c>
      <x:c r="B148" s="117" t="n">
        <x:v>8</x:v>
      </x:c>
      <x:c r="C148" s="117" t="n">
        <x:v>13</x:v>
      </x:c>
      <x:c r="D148" s="47" t="str">
        <x:v>Custom</x:v>
      </x:c>
      <x:c r="E148" s="100" t="str">
        <x:v>8,9,10,11,12,13</x:v>
      </x:c>
      <x:c r="F148" s="47" t="str">
        <x:v>Flexible</x:v>
      </x:c>
      <x:c r="G148" s="47"/>
      <x:c r="H148" s="47"/>
      <x:c r="I148" s="47"/>
      <x:c r="J148" s="47"/>
      <x:c r="K148" s="47"/>
      <x:c r="L148" s="47" t="str">
        <x:v>Normal</x:v>
      </x:c>
      <x:c r="M148" s="47" t="str">
        <x:v>No</x:v>
      </x:c>
      <x:c r="N148" s="100"/>
      <x:c r="O148" s="100"/>
      <x:c r="P148" s="100"/>
      <x:c r="Q148" s="100"/>
      <x:c r="R148" s="159"/>
    </x:row>
    <x:row r="149" ht="22" customHeight="1">
      <x:c r="A149" s="56" t="str">
        <x:v>REQ-MDME-MME1222-QZ-03</x:v>
      </x:c>
      <x:c r="B149" s="107" t="n">
        <x:v>6</x:v>
      </x:c>
      <x:c r="C149" s="107" t="n">
        <x:v>6</x:v>
      </x:c>
      <x:c r="D149" s="13" t="str">
        <x:v>Custom</x:v>
      </x:c>
      <x:c r="E149" s="90" t="str">
        <x:v>6</x:v>
      </x:c>
      <x:c r="F149" s="13" t="str">
        <x:v>Flexible</x:v>
      </x:c>
      <x:c r="G149" s="13"/>
      <x:c r="H149" s="13"/>
      <x:c r="I149" s="13"/>
      <x:c r="J149" s="13"/>
      <x:c r="K149" s="13"/>
      <x:c r="L149" s="13" t="str">
        <x:v>Normal</x:v>
      </x:c>
      <x:c r="M149" s="13" t="str">
        <x:v>No</x:v>
      </x:c>
      <x:c r="N149" s="90"/>
      <x:c r="O149" s="90"/>
      <x:c r="P149" s="90"/>
      <x:c r="Q149" s="90"/>
      <x:c r="R149" s="149"/>
    </x:row>
    <x:row r="150" ht="22" customHeight="1">
      <x:c r="A150" s="57" t="str">
        <x:v>REQ-MDME-MME1262-LEC-01</x:v>
      </x:c>
      <x:c r="B150" s="108" t="n">
        <x:v>1</x:v>
      </x:c>
      <x:c r="C150" s="108" t="n">
        <x:v>12</x:v>
      </x:c>
      <x:c r="D150" s="17" t="str">
        <x:v>Custom</x:v>
      </x:c>
      <x:c r="E150" s="91" t="str">
        <x:v>1,2,3,5,8,9,10,12</x:v>
      </x:c>
      <x:c r="F150" s="17" t="str">
        <x:v>Flexible</x:v>
      </x:c>
      <x:c r="G150" s="17"/>
      <x:c r="H150" s="17"/>
      <x:c r="I150" s="17"/>
      <x:c r="J150" s="17"/>
      <x:c r="K150" s="17"/>
      <x:c r="L150" s="17" t="str">
        <x:v>Normal</x:v>
      </x:c>
      <x:c r="M150" s="17" t="str">
        <x:v>No</x:v>
      </x:c>
      <x:c r="N150" s="91"/>
      <x:c r="O150" s="91"/>
      <x:c r="P150" s="91"/>
      <x:c r="Q150" s="91"/>
      <x:c r="R150" s="150"/>
    </x:row>
    <x:row r="151" ht="22" customHeight="1">
      <x:c r="A151" s="58" t="str">
        <x:v>REQ-MDME-MME1262-TUT-02</x:v>
      </x:c>
      <x:c r="B151" s="109" t="n">
        <x:v>1</x:v>
      </x:c>
      <x:c r="C151" s="109" t="n">
        <x:v>12</x:v>
      </x:c>
      <x:c r="D151" s="20" t="str">
        <x:v>Custom</x:v>
      </x:c>
      <x:c r="E151" s="92" t="str">
        <x:v>1,2,3,5,8,9,10,12</x:v>
      </x:c>
      <x:c r="F151" s="20" t="str">
        <x:v>Flexible</x:v>
      </x:c>
      <x:c r="G151" s="20"/>
      <x:c r="H151" s="20"/>
      <x:c r="I151" s="20"/>
      <x:c r="J151" s="20"/>
      <x:c r="K151" s="20"/>
      <x:c r="L151" s="20" t="str">
        <x:v>Normal</x:v>
      </x:c>
      <x:c r="M151" s="20" t="str">
        <x:v>No</x:v>
      </x:c>
      <x:c r="N151" s="92"/>
      <x:c r="O151" s="92"/>
      <x:c r="P151" s="92"/>
      <x:c r="Q151" s="92"/>
      <x:c r="R151" s="151"/>
    </x:row>
    <x:row r="152" ht="22" customHeight="1">
      <x:c r="A152" s="59" t="str">
        <x:v>REQ-MDME-MME1271-LEC-01</x:v>
      </x:c>
      <x:c r="B152" s="110" t="n">
        <x:v>1</x:v>
      </x:c>
      <x:c r="C152" s="110" t="n">
        <x:v>6</x:v>
      </x:c>
      <x:c r="D152" s="24" t="str">
        <x:v>Custom</x:v>
      </x:c>
      <x:c r="E152" s="93" t="str">
        <x:v>1,2,3,4,5,6</x:v>
      </x:c>
      <x:c r="F152" s="24" t="str">
        <x:v>Flexible</x:v>
      </x:c>
      <x:c r="G152" s="24"/>
      <x:c r="H152" s="24"/>
      <x:c r="I152" s="24"/>
      <x:c r="J152" s="24"/>
      <x:c r="K152" s="24"/>
      <x:c r="L152" s="24" t="str">
        <x:v>Normal</x:v>
      </x:c>
      <x:c r="M152" s="24" t="str">
        <x:v>No</x:v>
      </x:c>
      <x:c r="N152" s="93"/>
      <x:c r="O152" s="93"/>
      <x:c r="P152" s="93"/>
      <x:c r="Q152" s="93"/>
      <x:c r="R152" s="152"/>
    </x:row>
    <x:row r="153" ht="22" customHeight="1">
      <x:c r="A153" s="61" t="str">
        <x:v>REQ-MDME-MME1271-LCT-02</x:v>
      </x:c>
      <x:c r="B153" s="112" t="n">
        <x:v>8</x:v>
      </x:c>
      <x:c r="C153" s="112" t="n">
        <x:v>13</x:v>
      </x:c>
      <x:c r="D153" s="30" t="str">
        <x:v>Custom</x:v>
      </x:c>
      <x:c r="E153" s="95" t="str">
        <x:v>8,9,10,11,12,13</x:v>
      </x:c>
      <x:c r="F153" s="30" t="str">
        <x:v>Flexible</x:v>
      </x:c>
      <x:c r="G153" s="30"/>
      <x:c r="H153" s="30"/>
      <x:c r="I153" s="30"/>
      <x:c r="J153" s="30"/>
      <x:c r="K153" s="30"/>
      <x:c r="L153" s="30" t="str">
        <x:v>Normal</x:v>
      </x:c>
      <x:c r="M153" s="30" t="str">
        <x:v>No</x:v>
      </x:c>
      <x:c r="N153" s="95"/>
      <x:c r="O153" s="95"/>
      <x:c r="P153" s="95"/>
      <x:c r="Q153" s="95"/>
      <x:c r="R153" s="154"/>
    </x:row>
    <x:row r="154" ht="22" customHeight="1">
      <x:c r="A154" s="62" t="str">
        <x:v>REQ-MDME-MME3201A-WKS-01</x:v>
      </x:c>
      <x:c r="B154" s="113" t="n">
        <x:v>1</x:v>
      </x:c>
      <x:c r="C154" s="113" t="n">
        <x:v>13</x:v>
      </x:c>
      <x:c r="D154" s="34" t="str">
        <x:v>Custom</x:v>
      </x:c>
      <x:c r="E154" s="96" t="str">
        <x:v>1,2,3,4,5,6,8,9,10,11,12,13</x:v>
      </x:c>
      <x:c r="F154" s="34" t="str">
        <x:v>Flexible</x:v>
      </x:c>
      <x:c r="G154" s="34"/>
      <x:c r="H154" s="34"/>
      <x:c r="I154" s="34"/>
      <x:c r="J154" s="34"/>
      <x:c r="K154" s="34"/>
      <x:c r="L154" s="34" t="str">
        <x:v>Normal</x:v>
      </x:c>
      <x:c r="M154" s="34" t="str">
        <x:v>No</x:v>
      </x:c>
      <x:c r="N154" s="96"/>
      <x:c r="O154" s="96"/>
      <x:c r="P154" s="96"/>
      <x:c r="Q154" s="96"/>
      <x:c r="R154" s="155"/>
    </x:row>
    <x:row r="155" ht="22" customHeight="1">
      <x:c r="A155" s="63" t="str">
        <x:v>REQ-MDME-MME3201A-SEM-02</x:v>
      </x:c>
      <x:c r="B155" s="114" t="n">
        <x:v>1</x:v>
      </x:c>
      <x:c r="C155" s="114" t="n">
        <x:v>12</x:v>
      </x:c>
      <x:c r="D155" s="37" t="str">
        <x:v>Custom</x:v>
      </x:c>
      <x:c r="E155" s="97" t="str">
        <x:v>1,2,3,4,5,6,8,9,10,11,12</x:v>
      </x:c>
      <x:c r="F155" s="37" t="str">
        <x:v>Flexible</x:v>
      </x:c>
      <x:c r="G155" s="37"/>
      <x:c r="H155" s="37"/>
      <x:c r="I155" s="37"/>
      <x:c r="J155" s="37"/>
      <x:c r="K155" s="37"/>
      <x:c r="L155" s="37" t="str">
        <x:v>Normal</x:v>
      </x:c>
      <x:c r="M155" s="37" t="str">
        <x:v>No</x:v>
      </x:c>
      <x:c r="N155" s="97"/>
      <x:c r="O155" s="97"/>
      <x:c r="P155" s="97"/>
      <x:c r="Q155" s="97"/>
      <x:c r="R155" s="156"/>
    </x:row>
    <x:row r="156" ht="22" customHeight="1">
      <x:c r="A156" s="64" t="str">
        <x:v>REQ-MDME-MME3291-WKS-01</x:v>
      </x:c>
      <x:c r="B156" s="115" t="n">
        <x:v>7</x:v>
      </x:c>
      <x:c r="C156" s="115" t="n">
        <x:v>7</x:v>
      </x:c>
      <x:c r="D156" s="41" t="str">
        <x:v>Custom</x:v>
      </x:c>
      <x:c r="E156" s="98" t="str">
        <x:v>7</x:v>
      </x:c>
      <x:c r="F156" s="41" t="str">
        <x:v>Flexible</x:v>
      </x:c>
      <x:c r="G156" s="41"/>
      <x:c r="H156" s="41"/>
      <x:c r="I156" s="41"/>
      <x:c r="J156" s="41"/>
      <x:c r="K156" s="41"/>
      <x:c r="L156" s="41" t="str">
        <x:v>Normal</x:v>
      </x:c>
      <x:c r="M156" s="41" t="str">
        <x:v>No</x:v>
      </x:c>
      <x:c r="N156" s="98"/>
      <x:c r="O156" s="98"/>
      <x:c r="P156" s="98"/>
      <x:c r="Q156" s="98"/>
      <x:c r="R156" s="157"/>
    </x:row>
    <x:row r="157" ht="22" customHeight="1">
      <x:c r="A157" s="65" t="str">
        <x:v>REQ-MDME-MME3291-SEM-02</x:v>
      </x:c>
      <x:c r="B157" s="116" t="n">
        <x:v>1</x:v>
      </x:c>
      <x:c r="C157" s="116" t="n">
        <x:v>12</x:v>
      </x:c>
      <x:c r="D157" s="44" t="str">
        <x:v>Custom</x:v>
      </x:c>
      <x:c r="E157" s="99" t="str">
        <x:v>1,2,3,4,5,6,8,9,10,11,12</x:v>
      </x:c>
      <x:c r="F157" s="44" t="str">
        <x:v>Flexible</x:v>
      </x:c>
      <x:c r="G157" s="44"/>
      <x:c r="H157" s="44"/>
      <x:c r="I157" s="44"/>
      <x:c r="J157" s="44"/>
      <x:c r="K157" s="44"/>
      <x:c r="L157" s="44" t="str">
        <x:v>Normal</x:v>
      </x:c>
      <x:c r="M157" s="44" t="str">
        <x:v>No</x:v>
      </x:c>
      <x:c r="N157" s="99"/>
      <x:c r="O157" s="99"/>
      <x:c r="P157" s="99"/>
      <x:c r="Q157" s="99"/>
      <x:c r="R157" s="158"/>
    </x:row>
    <x:row r="158" ht="22" customHeight="1">
      <x:c r="A158" s="55" t="str">
        <x:v>REQ-MEC-MEC1223-LEC-01</x:v>
      </x:c>
      <x:c r="B158" s="106" t="n">
        <x:v>2</x:v>
      </x:c>
      <x:c r="C158" s="106" t="n">
        <x:v>12</x:v>
      </x:c>
      <x:c r="D158" s="10" t="str">
        <x:v>Custom</x:v>
      </x:c>
      <x:c r="E158" s="89" t="str">
        <x:v>2,3,4,8,10,12</x:v>
      </x:c>
      <x:c r="F158" s="10" t="str">
        <x:v>Flexible</x:v>
      </x:c>
      <x:c r="G158" s="10"/>
      <x:c r="H158" s="10"/>
      <x:c r="I158" s="10"/>
      <x:c r="J158" s="10"/>
      <x:c r="K158" s="10"/>
      <x:c r="L158" s="10" t="str">
        <x:v>Normal</x:v>
      </x:c>
      <x:c r="M158" s="10" t="str">
        <x:v>No</x:v>
      </x:c>
      <x:c r="N158" s="89"/>
      <x:c r="O158" s="89"/>
      <x:c r="P158" s="89"/>
      <x:c r="Q158" s="89"/>
      <x:c r="R158" s="148"/>
    </x:row>
    <x:row r="159" ht="22" customHeight="1">
      <x:c r="A159" s="66" t="str">
        <x:v>REQ-MEC-MEC1223-LCT-02</x:v>
      </x:c>
      <x:c r="B159" s="117" t="n">
        <x:v>1</x:v>
      </x:c>
      <x:c r="C159" s="117" t="n">
        <x:v>12</x:v>
      </x:c>
      <x:c r="D159" s="47" t="str">
        <x:v>Custom</x:v>
      </x:c>
      <x:c r="E159" s="100" t="str">
        <x:v>1,4,8,12</x:v>
      </x:c>
      <x:c r="F159" s="47" t="str">
        <x:v>Flexible</x:v>
      </x:c>
      <x:c r="G159" s="47"/>
      <x:c r="H159" s="47"/>
      <x:c r="I159" s="47"/>
      <x:c r="J159" s="47"/>
      <x:c r="K159" s="47"/>
      <x:c r="L159" s="47" t="str">
        <x:v>Normal</x:v>
      </x:c>
      <x:c r="M159" s="47" t="str">
        <x:v>No</x:v>
      </x:c>
      <x:c r="N159" s="100"/>
      <x:c r="O159" s="100"/>
      <x:c r="P159" s="100"/>
      <x:c r="Q159" s="100"/>
      <x:c r="R159" s="159"/>
    </x:row>
    <x:row r="160" ht="22" customHeight="1">
      <x:c r="A160" s="56" t="str">
        <x:v>REQ-MEC-MEC1223-QZ-03</x:v>
      </x:c>
      <x:c r="B160" s="107" t="n">
        <x:v>6</x:v>
      </x:c>
      <x:c r="C160" s="107" t="n">
        <x:v>11</x:v>
      </x:c>
      <x:c r="D160" s="13" t="str">
        <x:v>Custom</x:v>
      </x:c>
      <x:c r="E160" s="90" t="str">
        <x:v>6,11</x:v>
      </x:c>
      <x:c r="F160" s="13" t="str">
        <x:v>Flexible</x:v>
      </x:c>
      <x:c r="G160" s="13"/>
      <x:c r="H160" s="13"/>
      <x:c r="I160" s="13"/>
      <x:c r="J160" s="13"/>
      <x:c r="K160" s="13"/>
      <x:c r="L160" s="13" t="str">
        <x:v>Normal</x:v>
      </x:c>
      <x:c r="M160" s="13" t="str">
        <x:v>No</x:v>
      </x:c>
      <x:c r="N160" s="90"/>
      <x:c r="O160" s="90"/>
      <x:c r="P160" s="90"/>
      <x:c r="Q160" s="90"/>
      <x:c r="R160" s="149"/>
    </x:row>
    <x:row r="161" ht="22" customHeight="1">
      <x:c r="A161" s="57" t="str">
        <x:v>REQ-MEC-MEC1241-LEC-01</x:v>
      </x:c>
      <x:c r="B161" s="108" t="n">
        <x:v>3</x:v>
      </x:c>
      <x:c r="C161" s="108" t="n">
        <x:v>11</x:v>
      </x:c>
      <x:c r="D161" s="17" t="str">
        <x:v>Custom</x:v>
      </x:c>
      <x:c r="E161" s="91" t="str">
        <x:v>3,5,9,11</x:v>
      </x:c>
      <x:c r="F161" s="17" t="str">
        <x:v>Flexible</x:v>
      </x:c>
      <x:c r="G161" s="17"/>
      <x:c r="H161" s="17"/>
      <x:c r="I161" s="17"/>
      <x:c r="J161" s="17"/>
      <x:c r="K161" s="17"/>
      <x:c r="L161" s="17" t="str">
        <x:v>Normal</x:v>
      </x:c>
      <x:c r="M161" s="17" t="str">
        <x:v>No</x:v>
      </x:c>
      <x:c r="N161" s="91"/>
      <x:c r="O161" s="91"/>
      <x:c r="P161" s="91"/>
      <x:c r="Q161" s="91"/>
      <x:c r="R161" s="150"/>
    </x:row>
    <x:row r="162" ht="22" customHeight="1">
      <x:c r="A162" s="58" t="str">
        <x:v>REQ-MEC-MEC1241-LCT-02</x:v>
      </x:c>
      <x:c r="B162" s="109" t="n">
        <x:v>1</x:v>
      </x:c>
      <x:c r="C162" s="109" t="n">
        <x:v>12</x:v>
      </x:c>
      <x:c r="D162" s="20" t="str">
        <x:v>Custom</x:v>
      </x:c>
      <x:c r="E162" s="92" t="str">
        <x:v>1,4,8,12</x:v>
      </x:c>
      <x:c r="F162" s="20" t="str">
        <x:v>Flexible</x:v>
      </x:c>
      <x:c r="G162" s="20"/>
      <x:c r="H162" s="20"/>
      <x:c r="I162" s="20"/>
      <x:c r="J162" s="20"/>
      <x:c r="K162" s="20"/>
      <x:c r="L162" s="20" t="str">
        <x:v>Normal</x:v>
      </x:c>
      <x:c r="M162" s="20" t="str">
        <x:v>No</x:v>
      </x:c>
      <x:c r="N162" s="92"/>
      <x:c r="O162" s="92"/>
      <x:c r="P162" s="92"/>
      <x:c r="Q162" s="92"/>
      <x:c r="R162" s="151"/>
    </x:row>
    <x:row r="163" ht="22" customHeight="1">
      <x:c r="A163" s="59" t="str">
        <x:v>REQ-MEC-MEC2261-LEC-01</x:v>
      </x:c>
      <x:c r="B163" s="110" t="n">
        <x:v>1</x:v>
      </x:c>
      <x:c r="C163" s="110" t="n">
        <x:v>13</x:v>
      </x:c>
      <x:c r="D163" s="24" t="str">
        <x:v>Custom</x:v>
      </x:c>
      <x:c r="E163" s="93" t="str">
        <x:v>1,2,3,4,5,6,8,9,10,11,12,13</x:v>
      </x:c>
      <x:c r="F163" s="24" t="str">
        <x:v>Flexible</x:v>
      </x:c>
      <x:c r="G163" s="24"/>
      <x:c r="H163" s="24"/>
      <x:c r="I163" s="24"/>
      <x:c r="J163" s="24"/>
      <x:c r="K163" s="24"/>
      <x:c r="L163" s="24" t="str">
        <x:v>Normal</x:v>
      </x:c>
      <x:c r="M163" s="24" t="str">
        <x:v>No</x:v>
      </x:c>
      <x:c r="N163" s="93"/>
      <x:c r="O163" s="93"/>
      <x:c r="P163" s="93"/>
      <x:c r="Q163" s="93"/>
      <x:c r="R163" s="152"/>
    </x:row>
    <x:row r="164" ht="22" customHeight="1">
      <x:c r="A164" s="61" t="str">
        <x:v>REQ-MEC-MEC2261-WKS-02</x:v>
      </x:c>
      <x:c r="B164" s="112" t="n">
        <x:v>1</x:v>
      </x:c>
      <x:c r="C164" s="112" t="n">
        <x:v>12</x:v>
      </x:c>
      <x:c r="D164" s="30" t="str">
        <x:v>Custom</x:v>
      </x:c>
      <x:c r="E164" s="95" t="str">
        <x:v>1,2,3,4,5,6,8,9,10,11,12</x:v>
      </x:c>
      <x:c r="F164" s="30" t="str">
        <x:v>Flexible</x:v>
      </x:c>
      <x:c r="G164" s="30"/>
      <x:c r="H164" s="30"/>
      <x:c r="I164" s="30"/>
      <x:c r="J164" s="30"/>
      <x:c r="K164" s="30"/>
      <x:c r="L164" s="30" t="str">
        <x:v>Normal</x:v>
      </x:c>
      <x:c r="M164" s="30" t="str">
        <x:v>No</x:v>
      </x:c>
      <x:c r="N164" s="95"/>
      <x:c r="O164" s="95"/>
      <x:c r="P164" s="95"/>
      <x:c r="Q164" s="95"/>
      <x:c r="R164" s="154"/>
    </x:row>
    <x:row r="165" ht="22" customHeight="1">
      <x:c r="A165" s="62" t="str">
        <x:v>REQ-MEC-MEC2282-LEC-01</x:v>
      </x:c>
      <x:c r="B165" s="113" t="n">
        <x:v>1</x:v>
      </x:c>
      <x:c r="C165" s="113" t="n">
        <x:v>10</x:v>
      </x:c>
      <x:c r="D165" s="34" t="str">
        <x:v>Custom</x:v>
      </x:c>
      <x:c r="E165" s="96" t="str">
        <x:v>1,2,3,4,5,8,9,10</x:v>
      </x:c>
      <x:c r="F165" s="34" t="str">
        <x:v>Flexible</x:v>
      </x:c>
      <x:c r="G165" s="34"/>
      <x:c r="H165" s="34"/>
      <x:c r="I165" s="34"/>
      <x:c r="J165" s="34"/>
      <x:c r="K165" s="34"/>
      <x:c r="L165" s="34" t="str">
        <x:v>Normal</x:v>
      </x:c>
      <x:c r="M165" s="34" t="str">
        <x:v>No</x:v>
      </x:c>
      <x:c r="N165" s="96"/>
      <x:c r="O165" s="96"/>
      <x:c r="P165" s="96"/>
      <x:c r="Q165" s="96"/>
      <x:c r="R165" s="155"/>
    </x:row>
    <x:row r="166" ht="22" customHeight="1">
      <x:c r="A166" s="63" t="str">
        <x:v>REQ-MEC-MEC2282-TUT-02</x:v>
      </x:c>
      <x:c r="B166" s="114" t="n">
        <x:v>2</x:v>
      </x:c>
      <x:c r="C166" s="114" t="n">
        <x:v>11</x:v>
      </x:c>
      <x:c r="D166" s="37" t="str">
        <x:v>Custom</x:v>
      </x:c>
      <x:c r="E166" s="97" t="str">
        <x:v>2,3,4,5,6,8,9,10,11</x:v>
      </x:c>
      <x:c r="F166" s="37" t="str">
        <x:v>Flexible</x:v>
      </x:c>
      <x:c r="G166" s="37"/>
      <x:c r="H166" s="37"/>
      <x:c r="I166" s="37"/>
      <x:c r="J166" s="37"/>
      <x:c r="K166" s="37"/>
      <x:c r="L166" s="37" t="str">
        <x:v>Normal</x:v>
      </x:c>
      <x:c r="M166" s="37" t="str">
        <x:v>No</x:v>
      </x:c>
      <x:c r="N166" s="97"/>
      <x:c r="O166" s="97"/>
      <x:c r="P166" s="97"/>
      <x:c r="Q166" s="97"/>
      <x:c r="R166" s="156"/>
    </x:row>
    <x:row r="167" ht="22" customHeight="1">
      <x:c r="A167" s="64" t="str">
        <x:v>REQ-MEC-MEC3271-LEC-01</x:v>
      </x:c>
      <x:c r="B167" s="115" t="n">
        <x:v>2</x:v>
      </x:c>
      <x:c r="C167" s="115" t="n">
        <x:v>3</x:v>
      </x:c>
      <x:c r="D167" s="41" t="str">
        <x:v>Custom</x:v>
      </x:c>
      <x:c r="E167" s="98" t="str">
        <x:v>2,3</x:v>
      </x:c>
      <x:c r="F167" s="41" t="str">
        <x:v>Flexible</x:v>
      </x:c>
      <x:c r="G167" s="41"/>
      <x:c r="H167" s="41"/>
      <x:c r="I167" s="41"/>
      <x:c r="J167" s="41"/>
      <x:c r="K167" s="41"/>
      <x:c r="L167" s="41" t="str">
        <x:v>Normal</x:v>
      </x:c>
      <x:c r="M167" s="41" t="str">
        <x:v>No</x:v>
      </x:c>
      <x:c r="N167" s="98"/>
      <x:c r="O167" s="98"/>
      <x:c r="P167" s="98"/>
      <x:c r="Q167" s="98"/>
      <x:c r="R167" s="157"/>
    </x:row>
    <x:row r="168" ht="22" customHeight="1">
      <x:c r="A168" s="65" t="str">
        <x:v>REQ-MEC-MEC3271-TUT-02</x:v>
      </x:c>
      <x:c r="B168" s="116" t="n">
        <x:v>3</x:v>
      </x:c>
      <x:c r="C168" s="116" t="n">
        <x:v>4</x:v>
      </x:c>
      <x:c r="D168" s="44" t="str">
        <x:v>Custom</x:v>
      </x:c>
      <x:c r="E168" s="99" t="str">
        <x:v>3,4</x:v>
      </x:c>
      <x:c r="F168" s="44" t="str">
        <x:v>Flexible</x:v>
      </x:c>
      <x:c r="G168" s="44"/>
      <x:c r="H168" s="44"/>
      <x:c r="I168" s="44"/>
      <x:c r="J168" s="44"/>
      <x:c r="K168" s="44"/>
      <x:c r="L168" s="44" t="str">
        <x:v>Normal</x:v>
      </x:c>
      <x:c r="M168" s="44" t="str">
        <x:v>No</x:v>
      </x:c>
      <x:c r="N168" s="99"/>
      <x:c r="O168" s="99"/>
      <x:c r="P168" s="99"/>
      <x:c r="Q168" s="99"/>
      <x:c r="R168" s="158"/>
    </x:row>
    <x:row r="169" ht="22" customHeight="1">
      <x:c r="A169" s="55" t="str">
        <x:v>REQ-NAME-NME1106-LEC-01</x:v>
      </x:c>
      <x:c r="B169" s="106" t="n">
        <x:v>1</x:v>
      </x:c>
      <x:c r="C169" s="106" t="n">
        <x:v>6</x:v>
      </x:c>
      <x:c r="D169" s="10" t="str">
        <x:v>Custom</x:v>
      </x:c>
      <x:c r="E169" s="89" t="str">
        <x:v>1,2,3,4,5,6</x:v>
      </x:c>
      <x:c r="F169" s="10" t="str">
        <x:v>Flexible</x:v>
      </x:c>
      <x:c r="G169" s="10"/>
      <x:c r="H169" s="10"/>
      <x:c r="I169" s="10"/>
      <x:c r="J169" s="10"/>
      <x:c r="K169" s="10"/>
      <x:c r="L169" s="10" t="str">
        <x:v>Normal</x:v>
      </x:c>
      <x:c r="M169" s="10" t="str">
        <x:v>No</x:v>
      </x:c>
      <x:c r="N169" s="89"/>
      <x:c r="O169" s="89"/>
      <x:c r="P169" s="89"/>
      <x:c r="Q169" s="89"/>
      <x:c r="R169" s="148"/>
    </x:row>
    <x:row r="170" ht="22" customHeight="1">
      <x:c r="A170" s="66" t="str">
        <x:v>REQ-NAME-NME1106-TUT-02</x:v>
      </x:c>
      <x:c r="B170" s="117" t="n">
        <x:v>1</x:v>
      </x:c>
      <x:c r="C170" s="117" t="n">
        <x:v>6</x:v>
      </x:c>
      <x:c r="D170" s="47" t="str">
        <x:v>Custom</x:v>
      </x:c>
      <x:c r="E170" s="100" t="str">
        <x:v>1,2,3,4,5,6</x:v>
      </x:c>
      <x:c r="F170" s="47" t="str">
        <x:v>Flexible</x:v>
      </x:c>
      <x:c r="G170" s="47"/>
      <x:c r="H170" s="47"/>
      <x:c r="I170" s="47"/>
      <x:c r="J170" s="47"/>
      <x:c r="K170" s="47"/>
      <x:c r="L170" s="47" t="str">
        <x:v>Normal</x:v>
      </x:c>
      <x:c r="M170" s="47" t="str">
        <x:v>No</x:v>
      </x:c>
      <x:c r="N170" s="100"/>
      <x:c r="O170" s="100"/>
      <x:c r="P170" s="100"/>
      <x:c r="Q170" s="100"/>
      <x:c r="R170" s="159"/>
    </x:row>
    <x:row r="171" ht="22" customHeight="1">
      <x:c r="A171" s="56" t="str">
        <x:v>REQ-NAME-NME1106-QZ-03</x:v>
      </x:c>
      <x:c r="B171" s="107" t="n">
        <x:v>6</x:v>
      </x:c>
      <x:c r="C171" s="107" t="n">
        <x:v>6</x:v>
      </x:c>
      <x:c r="D171" s="13" t="str">
        <x:v>Custom</x:v>
      </x:c>
      <x:c r="E171" s="90" t="str">
        <x:v>6</x:v>
      </x:c>
      <x:c r="F171" s="13" t="str">
        <x:v>Flexible</x:v>
      </x:c>
      <x:c r="G171" s="13"/>
      <x:c r="H171" s="13"/>
      <x:c r="I171" s="13"/>
      <x:c r="J171" s="13"/>
      <x:c r="K171" s="13"/>
      <x:c r="L171" s="13" t="str">
        <x:v>Normal</x:v>
      </x:c>
      <x:c r="M171" s="13" t="str">
        <x:v>No</x:v>
      </x:c>
      <x:c r="N171" s="90"/>
      <x:c r="O171" s="90"/>
      <x:c r="P171" s="90"/>
      <x:c r="Q171" s="90"/>
      <x:c r="R171" s="149"/>
    </x:row>
    <x:row r="172" ht="22" customHeight="1">
      <x:c r="A172" s="57" t="str">
        <x:v>REQ-NAME-NME1108-LEC-01</x:v>
      </x:c>
      <x:c r="B172" s="108" t="n">
        <x:v>1</x:v>
      </x:c>
      <x:c r="C172" s="108" t="n">
        <x:v>13</x:v>
      </x:c>
      <x:c r="D172" s="17" t="str">
        <x:v>Custom</x:v>
      </x:c>
      <x:c r="E172" s="91" t="str">
        <x:v>1,2,3,4,5,6,8,9,10,11,12,13</x:v>
      </x:c>
      <x:c r="F172" s="17" t="str">
        <x:v>Flexible</x:v>
      </x:c>
      <x:c r="G172" s="17"/>
      <x:c r="H172" s="17"/>
      <x:c r="I172" s="17"/>
      <x:c r="J172" s="17"/>
      <x:c r="K172" s="17"/>
      <x:c r="L172" s="17" t="str">
        <x:v>Normal</x:v>
      </x:c>
      <x:c r="M172" s="17" t="str">
        <x:v>No</x:v>
      </x:c>
      <x:c r="N172" s="91"/>
      <x:c r="O172" s="91"/>
      <x:c r="P172" s="91"/>
      <x:c r="Q172" s="91"/>
      <x:c r="R172" s="150"/>
    </x:row>
    <x:row r="173" ht="22" customHeight="1">
      <x:c r="A173" s="58" t="str">
        <x:v>REQ-NAME-NME1108-TUT-02</x:v>
      </x:c>
      <x:c r="B173" s="109" t="n">
        <x:v>1</x:v>
      </x:c>
      <x:c r="C173" s="109" t="n">
        <x:v>13</x:v>
      </x:c>
      <x:c r="D173" s="20" t="str">
        <x:v>Custom</x:v>
      </x:c>
      <x:c r="E173" s="92" t="str">
        <x:v>1,2,3,4,5,6,8,9,10,11,12,13</x:v>
      </x:c>
      <x:c r="F173" s="20" t="str">
        <x:v>Flexible</x:v>
      </x:c>
      <x:c r="G173" s="20"/>
      <x:c r="H173" s="20"/>
      <x:c r="I173" s="20"/>
      <x:c r="J173" s="20"/>
      <x:c r="K173" s="20"/>
      <x:c r="L173" s="20" t="str">
        <x:v>Normal</x:v>
      </x:c>
      <x:c r="M173" s="20" t="str">
        <x:v>No</x:v>
      </x:c>
      <x:c r="N173" s="92"/>
      <x:c r="O173" s="92"/>
      <x:c r="P173" s="92"/>
      <x:c r="Q173" s="92"/>
      <x:c r="R173" s="151"/>
    </x:row>
    <x:row r="174" ht="22" customHeight="1">
      <x:c r="A174" s="59" t="str">
        <x:v>REQ-NAME-NME1109-LEC-01</x:v>
      </x:c>
      <x:c r="B174" s="110" t="n">
        <x:v>1</x:v>
      </x:c>
      <x:c r="C174" s="110" t="n">
        <x:v>13</x:v>
      </x:c>
      <x:c r="D174" s="24" t="str">
        <x:v>Custom</x:v>
      </x:c>
      <x:c r="E174" s="93" t="str">
        <x:v>1,3,5,8,9,13</x:v>
      </x:c>
      <x:c r="F174" s="24" t="str">
        <x:v>Flexible</x:v>
      </x:c>
      <x:c r="G174" s="24"/>
      <x:c r="H174" s="24"/>
      <x:c r="I174" s="24"/>
      <x:c r="J174" s="24"/>
      <x:c r="K174" s="24"/>
      <x:c r="L174" s="24" t="str">
        <x:v>Normal</x:v>
      </x:c>
      <x:c r="M174" s="24" t="str">
        <x:v>No</x:v>
      </x:c>
      <x:c r="N174" s="93"/>
      <x:c r="O174" s="93"/>
      <x:c r="P174" s="93"/>
      <x:c r="Q174" s="93"/>
      <x:c r="R174" s="152"/>
    </x:row>
    <x:row r="175" ht="22" customHeight="1">
      <x:c r="A175" s="61" t="str">
        <x:v>REQ-NAME-NME1109-TUT-02</x:v>
      </x:c>
      <x:c r="B175" s="112" t="n">
        <x:v>2</x:v>
      </x:c>
      <x:c r="C175" s="112" t="n">
        <x:v>12</x:v>
      </x:c>
      <x:c r="D175" s="30" t="str">
        <x:v>Custom</x:v>
      </x:c>
      <x:c r="E175" s="95" t="str">
        <x:v>2,4,6,9,11,12</x:v>
      </x:c>
      <x:c r="F175" s="30" t="str">
        <x:v>Flexible</x:v>
      </x:c>
      <x:c r="G175" s="30"/>
      <x:c r="H175" s="30"/>
      <x:c r="I175" s="30"/>
      <x:c r="J175" s="30"/>
      <x:c r="K175" s="30"/>
      <x:c r="L175" s="30" t="str">
        <x:v>Normal</x:v>
      </x:c>
      <x:c r="M175" s="30" t="str">
        <x:v>No</x:v>
      </x:c>
      <x:c r="N175" s="95"/>
      <x:c r="O175" s="95"/>
      <x:c r="P175" s="95"/>
      <x:c r="Q175" s="95"/>
      <x:c r="R175" s="154"/>
    </x:row>
    <x:row r="176" ht="22" customHeight="1">
      <x:c r="A176" s="62" t="str">
        <x:v>REQ-NAME-NME2104-LCT-01</x:v>
      </x:c>
      <x:c r="B176" s="113" t="n">
        <x:v>1</x:v>
      </x:c>
      <x:c r="C176" s="113" t="n">
        <x:v>13</x:v>
      </x:c>
      <x:c r="D176" s="34" t="str">
        <x:v>Custom</x:v>
      </x:c>
      <x:c r="E176" s="96" t="str">
        <x:v>1,2,3,4,5,6,8,9,10,11,12,13</x:v>
      </x:c>
      <x:c r="F176" s="34" t="str">
        <x:v>Flexible</x:v>
      </x:c>
      <x:c r="G176" s="34"/>
      <x:c r="H176" s="34"/>
      <x:c r="I176" s="34"/>
      <x:c r="J176" s="34"/>
      <x:c r="K176" s="34"/>
      <x:c r="L176" s="34" t="str">
        <x:v>Normal</x:v>
      </x:c>
      <x:c r="M176" s="34" t="str">
        <x:v>No</x:v>
      </x:c>
      <x:c r="N176" s="96"/>
      <x:c r="O176" s="96"/>
      <x:c r="P176" s="96"/>
      <x:c r="Q176" s="96"/>
      <x:c r="R176" s="155"/>
    </x:row>
    <x:row r="177" ht="22" customHeight="1">
      <x:c r="A177" s="63" t="str">
        <x:v>REQ-NAME-NME2104-TUT-02</x:v>
      </x:c>
      <x:c r="B177" s="114" t="n">
        <x:v>1</x:v>
      </x:c>
      <x:c r="C177" s="114" t="n">
        <x:v>12</x:v>
      </x:c>
      <x:c r="D177" s="37" t="str">
        <x:v>Custom</x:v>
      </x:c>
      <x:c r="E177" s="97" t="str">
        <x:v>1,2,3,4,5,6,8,9,10,11,12</x:v>
      </x:c>
      <x:c r="F177" s="37" t="str">
        <x:v>Flexible</x:v>
      </x:c>
      <x:c r="G177" s="37"/>
      <x:c r="H177" s="37"/>
      <x:c r="I177" s="37"/>
      <x:c r="J177" s="37"/>
      <x:c r="K177" s="37"/>
      <x:c r="L177" s="37" t="str">
        <x:v>Normal</x:v>
      </x:c>
      <x:c r="M177" s="37" t="str">
        <x:v>No</x:v>
      </x:c>
      <x:c r="N177" s="97"/>
      <x:c r="O177" s="97"/>
      <x:c r="P177" s="97"/>
      <x:c r="Q177" s="97"/>
      <x:c r="R177" s="156"/>
    </x:row>
    <x:row r="178" ht="22" customHeight="1">
      <x:c r="A178" s="64" t="str">
        <x:v>REQ-NAME-NME2106-LEC-01</x:v>
      </x:c>
      <x:c r="B178" s="115" t="n">
        <x:v>8</x:v>
      </x:c>
      <x:c r="C178" s="115" t="n">
        <x:v>13</x:v>
      </x:c>
      <x:c r="D178" s="41" t="str">
        <x:v>Custom</x:v>
      </x:c>
      <x:c r="E178" s="98" t="str">
        <x:v>8,9,10,11,12,13</x:v>
      </x:c>
      <x:c r="F178" s="41" t="str">
        <x:v>Flexible</x:v>
      </x:c>
      <x:c r="G178" s="41"/>
      <x:c r="H178" s="41"/>
      <x:c r="I178" s="41"/>
      <x:c r="J178" s="41"/>
      <x:c r="K178" s="41"/>
      <x:c r="L178" s="41" t="str">
        <x:v>Normal</x:v>
      </x:c>
      <x:c r="M178" s="41" t="str">
        <x:v>No</x:v>
      </x:c>
      <x:c r="N178" s="98"/>
      <x:c r="O178" s="98"/>
      <x:c r="P178" s="98"/>
      <x:c r="Q178" s="98"/>
      <x:c r="R178" s="157"/>
    </x:row>
    <x:row r="179" ht="22" customHeight="1">
      <x:c r="A179" s="65" t="str">
        <x:v>REQ-NAME-NME2106-TUT-02</x:v>
      </x:c>
      <x:c r="B179" s="116" t="n">
        <x:v>1</x:v>
      </x:c>
      <x:c r="C179" s="116" t="n">
        <x:v>6</x:v>
      </x:c>
      <x:c r="D179" s="44" t="str">
        <x:v>Custom</x:v>
      </x:c>
      <x:c r="E179" s="99" t="str">
        <x:v>1,2,3,4,5,6</x:v>
      </x:c>
      <x:c r="F179" s="44" t="str">
        <x:v>Flexible</x:v>
      </x:c>
      <x:c r="G179" s="44"/>
      <x:c r="H179" s="44"/>
      <x:c r="I179" s="44"/>
      <x:c r="J179" s="44"/>
      <x:c r="K179" s="44"/>
      <x:c r="L179" s="44" t="str">
        <x:v>Normal</x:v>
      </x:c>
      <x:c r="M179" s="44" t="str">
        <x:v>No</x:v>
      </x:c>
      <x:c r="N179" s="99"/>
      <x:c r="O179" s="99"/>
      <x:c r="P179" s="99"/>
      <x:c r="Q179" s="99"/>
      <x:c r="R179" s="158"/>
    </x:row>
    <x:row r="180" ht="22" customHeight="1">
      <x:c r="A180" s="55" t="str">
        <x:v>REQ-RSE-RSE1102-WKS-01</x:v>
      </x:c>
      <x:c r="B180" s="106" t="n">
        <x:v>2</x:v>
      </x:c>
      <x:c r="C180" s="106" t="n">
        <x:v>6</x:v>
      </x:c>
      <x:c r="D180" s="10" t="str">
        <x:v>Custom</x:v>
      </x:c>
      <x:c r="E180" s="89" t="str">
        <x:v>2,3,4,5,6</x:v>
      </x:c>
      <x:c r="F180" s="10" t="str">
        <x:v>Flexible</x:v>
      </x:c>
      <x:c r="G180" s="10"/>
      <x:c r="H180" s="10"/>
      <x:c r="I180" s="10"/>
      <x:c r="J180" s="10"/>
      <x:c r="K180" s="10"/>
      <x:c r="L180" s="10" t="str">
        <x:v>Normal</x:v>
      </x:c>
      <x:c r="M180" s="10" t="str">
        <x:v>No</x:v>
      </x:c>
      <x:c r="N180" s="89"/>
      <x:c r="O180" s="89"/>
      <x:c r="P180" s="89"/>
      <x:c r="Q180" s="89"/>
      <x:c r="R180" s="148"/>
    </x:row>
    <x:row r="181" ht="22" customHeight="1">
      <x:c r="A181" s="56" t="str">
        <x:v>REQ-RSE-RSE1102-SEM-02</x:v>
      </x:c>
      <x:c r="B181" s="107" t="n">
        <x:v>1</x:v>
      </x:c>
      <x:c r="C181" s="107" t="n">
        <x:v>12</x:v>
      </x:c>
      <x:c r="D181" s="13" t="str">
        <x:v>Custom</x:v>
      </x:c>
      <x:c r="E181" s="90" t="str">
        <x:v>1,2,3,4,5,6,8,9,10,11,12</x:v>
      </x:c>
      <x:c r="F181" s="13" t="str">
        <x:v>Flexible</x:v>
      </x:c>
      <x:c r="G181" s="13"/>
      <x:c r="H181" s="13"/>
      <x:c r="I181" s="13"/>
      <x:c r="J181" s="13"/>
      <x:c r="K181" s="13"/>
      <x:c r="L181" s="13" t="str">
        <x:v>Normal</x:v>
      </x:c>
      <x:c r="M181" s="13" t="str">
        <x:v>No</x:v>
      </x:c>
      <x:c r="N181" s="90"/>
      <x:c r="O181" s="90"/>
      <x:c r="P181" s="90"/>
      <x:c r="Q181" s="90"/>
      <x:c r="R181" s="149"/>
    </x:row>
    <x:row r="182" ht="22" customHeight="1">
      <x:c r="A182" s="57" t="str">
        <x:v>REQ-RSE-RSE1202-LCT-01</x:v>
      </x:c>
      <x:c r="B182" s="108" t="n">
        <x:v>1</x:v>
      </x:c>
      <x:c r="C182" s="108" t="n">
        <x:v>13</x:v>
      </x:c>
      <x:c r="D182" s="17" t="str">
        <x:v>Custom</x:v>
      </x:c>
      <x:c r="E182" s="91" t="str">
        <x:v>1,2,3,4,5,6,8,9,10,11,12,13</x:v>
      </x:c>
      <x:c r="F182" s="17" t="str">
        <x:v>Flexible</x:v>
      </x:c>
      <x:c r="G182" s="17"/>
      <x:c r="H182" s="17"/>
      <x:c r="I182" s="17"/>
      <x:c r="J182" s="17"/>
      <x:c r="K182" s="17"/>
      <x:c r="L182" s="17" t="str">
        <x:v>Normal</x:v>
      </x:c>
      <x:c r="M182" s="17" t="str">
        <x:v>No</x:v>
      </x:c>
      <x:c r="N182" s="91"/>
      <x:c r="O182" s="91"/>
      <x:c r="P182" s="91"/>
      <x:c r="Q182" s="91"/>
      <x:c r="R182" s="150"/>
    </x:row>
    <x:row r="183" ht="22" customHeight="1">
      <x:c r="A183" s="67" t="str">
        <x:v>REQ-RSE-RSE1202-TUT-02</x:v>
      </x:c>
      <x:c r="B183" s="118" t="n">
        <x:v>1</x:v>
      </x:c>
      <x:c r="C183" s="118" t="n">
        <x:v>12</x:v>
      </x:c>
      <x:c r="D183" s="50" t="str">
        <x:v>Custom</x:v>
      </x:c>
      <x:c r="E183" s="101" t="str">
        <x:v>1,2,3,4,5,6,8,9,10,11,12</x:v>
      </x:c>
      <x:c r="F183" s="50" t="str">
        <x:v>Flexible</x:v>
      </x:c>
      <x:c r="G183" s="50"/>
      <x:c r="H183" s="50"/>
      <x:c r="I183" s="50"/>
      <x:c r="J183" s="50"/>
      <x:c r="K183" s="50"/>
      <x:c r="L183" s="50" t="str">
        <x:v>Normal</x:v>
      </x:c>
      <x:c r="M183" s="50" t="str">
        <x:v>No</x:v>
      </x:c>
      <x:c r="N183" s="101"/>
      <x:c r="O183" s="101"/>
      <x:c r="P183" s="101"/>
      <x:c r="Q183" s="101"/>
      <x:c r="R183" s="160"/>
    </x:row>
    <x:row r="184" ht="22" customHeight="1">
      <x:c r="A184" s="58" t="str">
        <x:v>REQ-RSE-RSE1202-QZ-03</x:v>
      </x:c>
      <x:c r="B184" s="109" t="n">
        <x:v>6</x:v>
      </x:c>
      <x:c r="C184" s="109" t="n">
        <x:v>13</x:v>
      </x:c>
      <x:c r="D184" s="20" t="str">
        <x:v>Custom</x:v>
      </x:c>
      <x:c r="E184" s="92" t="str">
        <x:v>6,13</x:v>
      </x:c>
      <x:c r="F184" s="20" t="str">
        <x:v>Flexible</x:v>
      </x:c>
      <x:c r="G184" s="20"/>
      <x:c r="H184" s="20"/>
      <x:c r="I184" s="20"/>
      <x:c r="J184" s="20"/>
      <x:c r="K184" s="20"/>
      <x:c r="L184" s="20" t="str">
        <x:v>Normal</x:v>
      </x:c>
      <x:c r="M184" s="20" t="str">
        <x:v>No</x:v>
      </x:c>
      <x:c r="N184" s="92"/>
      <x:c r="O184" s="92"/>
      <x:c r="P184" s="92"/>
      <x:c r="Q184" s="92"/>
      <x:c r="R184" s="151"/>
    </x:row>
    <x:row r="185" ht="22" customHeight="1">
      <x:c r="A185" s="59" t="str">
        <x:v>REQ-RSE-RSE1801-LEC-01</x:v>
      </x:c>
      <x:c r="B185" s="110" t="n">
        <x:v>1</x:v>
      </x:c>
      <x:c r="C185" s="110" t="n">
        <x:v>12</x:v>
      </x:c>
      <x:c r="D185" s="24" t="str">
        <x:v>Custom</x:v>
      </x:c>
      <x:c r="E185" s="93" t="str">
        <x:v>1,2,3,4,5,6,8,9,10,11,12</x:v>
      </x:c>
      <x:c r="F185" s="24" t="str">
        <x:v>Flexible</x:v>
      </x:c>
      <x:c r="G185" s="24"/>
      <x:c r="H185" s="24"/>
      <x:c r="I185" s="24"/>
      <x:c r="J185" s="24"/>
      <x:c r="K185" s="24"/>
      <x:c r="L185" s="24" t="str">
        <x:v>Normal</x:v>
      </x:c>
      <x:c r="M185" s="24" t="str">
        <x:v>No</x:v>
      </x:c>
      <x:c r="N185" s="93"/>
      <x:c r="O185" s="93"/>
      <x:c r="P185" s="93"/>
      <x:c r="Q185" s="93"/>
      <x:c r="R185" s="152"/>
    </x:row>
    <x:row r="186" ht="22" customHeight="1">
      <x:c r="A186" s="61" t="str">
        <x:v>REQ-RSE-RSE1801-LCT-02</x:v>
      </x:c>
      <x:c r="B186" s="112" t="n">
        <x:v>1</x:v>
      </x:c>
      <x:c r="C186" s="112" t="n">
        <x:v>12</x:v>
      </x:c>
      <x:c r="D186" s="30" t="str">
        <x:v>Custom</x:v>
      </x:c>
      <x:c r="E186" s="95" t="str">
        <x:v>1,2,3,4,5,6,8,9,10,11,12</x:v>
      </x:c>
      <x:c r="F186" s="30" t="str">
        <x:v>Flexible</x:v>
      </x:c>
      <x:c r="G186" s="30"/>
      <x:c r="H186" s="30"/>
      <x:c r="I186" s="30"/>
      <x:c r="J186" s="30"/>
      <x:c r="K186" s="30"/>
      <x:c r="L186" s="30" t="str">
        <x:v>Normal</x:v>
      </x:c>
      <x:c r="M186" s="30" t="str">
        <x:v>No</x:v>
      </x:c>
      <x:c r="N186" s="95"/>
      <x:c r="O186" s="95"/>
      <x:c r="P186" s="95"/>
      <x:c r="Q186" s="95"/>
      <x:c r="R186" s="154"/>
    </x:row>
    <x:row r="187" ht="22" customHeight="1">
      <x:c r="A187" s="62" t="str">
        <x:v>REQ-RSE-RSE3601A-WKS-01</x:v>
      </x:c>
      <x:c r="B187" s="113" t="n">
        <x:v>1</x:v>
      </x:c>
      <x:c r="C187" s="113" t="n">
        <x:v>13</x:v>
      </x:c>
      <x:c r="D187" s="34" t="str">
        <x:v>Custom</x:v>
      </x:c>
      <x:c r="E187" s="96" t="str">
        <x:v>1,2,3,4,5,6,8,9,10,11,12,13</x:v>
      </x:c>
      <x:c r="F187" s="34" t="str">
        <x:v>Flexible</x:v>
      </x:c>
      <x:c r="G187" s="34"/>
      <x:c r="H187" s="34"/>
      <x:c r="I187" s="34"/>
      <x:c r="J187" s="34"/>
      <x:c r="K187" s="34"/>
      <x:c r="L187" s="34" t="str">
        <x:v>Normal</x:v>
      </x:c>
      <x:c r="M187" s="34" t="str">
        <x:v>No</x:v>
      </x:c>
      <x:c r="N187" s="96"/>
      <x:c r="O187" s="96"/>
      <x:c r="P187" s="96"/>
      <x:c r="Q187" s="96"/>
      <x:c r="R187" s="155"/>
    </x:row>
    <x:row r="188" ht="22" customHeight="1">
      <x:c r="A188" s="63" t="str">
        <x:v>REQ-RSE-RSE3601A-SEM-02</x:v>
      </x:c>
      <x:c r="B188" s="114" t="n">
        <x:v>1</x:v>
      </x:c>
      <x:c r="C188" s="114" t="n">
        <x:v>12</x:v>
      </x:c>
      <x:c r="D188" s="37" t="str">
        <x:v>Custom</x:v>
      </x:c>
      <x:c r="E188" s="97" t="str">
        <x:v>1,2,3,4,5,6,8,9,10,11,12</x:v>
      </x:c>
      <x:c r="F188" s="37" t="str">
        <x:v>Flexible</x:v>
      </x:c>
      <x:c r="G188" s="37"/>
      <x:c r="H188" s="37"/>
      <x:c r="I188" s="37"/>
      <x:c r="J188" s="37"/>
      <x:c r="K188" s="37"/>
      <x:c r="L188" s="37" t="str">
        <x:v>Normal</x:v>
      </x:c>
      <x:c r="M188" s="37" t="str">
        <x:v>No</x:v>
      </x:c>
      <x:c r="N188" s="97"/>
      <x:c r="O188" s="97"/>
      <x:c r="P188" s="97"/>
      <x:c r="Q188" s="97"/>
      <x:c r="R188" s="156"/>
    </x:row>
    <x:row r="189" ht="22" customHeight="1">
      <x:c r="A189" s="64" t="str">
        <x:v>REQ-RSE-RSE3601B-LCT-01</x:v>
      </x:c>
      <x:c r="B189" s="115" t="n">
        <x:v>1</x:v>
      </x:c>
      <x:c r="C189" s="115" t="n">
        <x:v>13</x:v>
      </x:c>
      <x:c r="D189" s="41" t="str">
        <x:v>Custom</x:v>
      </x:c>
      <x:c r="E189" s="98" t="str">
        <x:v>1,2,3,4,5,6,8,9,10,11,12,13</x:v>
      </x:c>
      <x:c r="F189" s="41" t="str">
        <x:v>Flexible</x:v>
      </x:c>
      <x:c r="G189" s="41"/>
      <x:c r="H189" s="41"/>
      <x:c r="I189" s="41"/>
      <x:c r="J189" s="41"/>
      <x:c r="K189" s="41"/>
      <x:c r="L189" s="41" t="str">
        <x:v>Normal</x:v>
      </x:c>
      <x:c r="M189" s="41" t="str">
        <x:v>No</x:v>
      </x:c>
      <x:c r="N189" s="98"/>
      <x:c r="O189" s="98"/>
      <x:c r="P189" s="98"/>
      <x:c r="Q189" s="98"/>
      <x:c r="R189" s="157"/>
    </x:row>
    <x:row r="190" ht="22" customHeight="1">
      <x:c r="A190" s="65" t="str">
        <x:v>REQ-RSE-RSE3601B-TUT-02</x:v>
      </x:c>
      <x:c r="B190" s="116" t="n">
        <x:v>1</x:v>
      </x:c>
      <x:c r="C190" s="116" t="n">
        <x:v>12</x:v>
      </x:c>
      <x:c r="D190" s="44" t="str">
        <x:v>Custom</x:v>
      </x:c>
      <x:c r="E190" s="99" t="str">
        <x:v>1,2,3,4,5,6,8,9,10,11,12</x:v>
      </x:c>
      <x:c r="F190" s="44" t="str">
        <x:v>Flexible</x:v>
      </x:c>
      <x:c r="G190" s="44"/>
      <x:c r="H190" s="44"/>
      <x:c r="I190" s="44"/>
      <x:c r="J190" s="44"/>
      <x:c r="K190" s="44"/>
      <x:c r="L190" s="44" t="str">
        <x:v>Normal</x:v>
      </x:c>
      <x:c r="M190" s="44" t="str">
        <x:v>No</x:v>
      </x:c>
      <x:c r="N190" s="99"/>
      <x:c r="O190" s="99"/>
      <x:c r="P190" s="99"/>
      <x:c r="Q190" s="99"/>
      <x:c r="R190" s="158"/>
    </x:row>
    <x:row r="191" ht="22" customHeight="1">
      <x:c r="A191" s="55" t="str">
        <x:v>REQ-SBE-SBE1101-LEC-01</x:v>
      </x:c>
      <x:c r="B191" s="106" t="n">
        <x:v>1</x:v>
      </x:c>
      <x:c r="C191" s="106" t="n">
        <x:v>13</x:v>
      </x:c>
      <x:c r="D191" s="10" t="str">
        <x:v>Custom</x:v>
      </x:c>
      <x:c r="E191" s="89" t="str">
        <x:v>1,2,3,4,5,6,8,9,10,11,12,13</x:v>
      </x:c>
      <x:c r="F191" s="10" t="str">
        <x:v>Flexible</x:v>
      </x:c>
      <x:c r="G191" s="10"/>
      <x:c r="H191" s="10"/>
      <x:c r="I191" s="10"/>
      <x:c r="J191" s="10"/>
      <x:c r="K191" s="10"/>
      <x:c r="L191" s="10" t="str">
        <x:v>Normal</x:v>
      </x:c>
      <x:c r="M191" s="10" t="str">
        <x:v>No</x:v>
      </x:c>
      <x:c r="N191" s="89"/>
      <x:c r="O191" s="89"/>
      <x:c r="P191" s="89"/>
      <x:c r="Q191" s="89"/>
      <x:c r="R191" s="148"/>
    </x:row>
    <x:row r="192" ht="22" customHeight="1">
      <x:c r="A192" s="66" t="str">
        <x:v>REQ-SBE-SBE1101-LEC-02B</x:v>
      </x:c>
      <x:c r="B192" s="117" t="n">
        <x:v>1</x:v>
      </x:c>
      <x:c r="C192" s="117" t="n">
        <x:v>13</x:v>
      </x:c>
      <x:c r="D192" s="47" t="str">
        <x:v>Custom</x:v>
      </x:c>
      <x:c r="E192" s="100" t="str">
        <x:v>1,2,3,4,5,6,8,9,10,11,12,13</x:v>
      </x:c>
      <x:c r="F192" s="47" t="str">
        <x:v>Flexible</x:v>
      </x:c>
      <x:c r="G192" s="47"/>
      <x:c r="H192" s="47"/>
      <x:c r="I192" s="47"/>
      <x:c r="J192" s="47"/>
      <x:c r="K192" s="47"/>
      <x:c r="L192" s="47" t="str">
        <x:v>Normal</x:v>
      </x:c>
      <x:c r="M192" s="47" t="str">
        <x:v>No</x:v>
      </x:c>
      <x:c r="N192" s="100"/>
      <x:c r="O192" s="100"/>
      <x:c r="P192" s="100"/>
      <x:c r="Q192" s="100"/>
      <x:c r="R192" s="159"/>
    </x:row>
    <x:row r="193" ht="22" customHeight="1">
      <x:c r="A193" s="66" t="str">
        <x:v>REQ-SBE-SBE1101-TUT-03</x:v>
      </x:c>
      <x:c r="B193" s="117" t="n">
        <x:v>1</x:v>
      </x:c>
      <x:c r="C193" s="117" t="n">
        <x:v>13</x:v>
      </x:c>
      <x:c r="D193" s="47" t="str">
        <x:v>Custom</x:v>
      </x:c>
      <x:c r="E193" s="100" t="str">
        <x:v>1,2,3,4,5,6,8,9,10,11,12,13</x:v>
      </x:c>
      <x:c r="F193" s="47" t="str">
        <x:v>Flexible</x:v>
      </x:c>
      <x:c r="G193" s="47"/>
      <x:c r="H193" s="47"/>
      <x:c r="I193" s="47"/>
      <x:c r="J193" s="47"/>
      <x:c r="K193" s="47"/>
      <x:c r="L193" s="47" t="str">
        <x:v>Normal</x:v>
      </x:c>
      <x:c r="M193" s="47" t="str">
        <x:v>No</x:v>
      </x:c>
      <x:c r="N193" s="100"/>
      <x:c r="O193" s="100"/>
      <x:c r="P193" s="100"/>
      <x:c r="Q193" s="100"/>
      <x:c r="R193" s="159"/>
    </x:row>
    <x:row r="194" ht="22" customHeight="1">
      <x:c r="A194" s="66" t="str">
        <x:v>REQ-SBE-SBE1101-TUT-04B</x:v>
      </x:c>
      <x:c r="B194" s="117" t="n">
        <x:v>1</x:v>
      </x:c>
      <x:c r="C194" s="117" t="n">
        <x:v>13</x:v>
      </x:c>
      <x:c r="D194" s="47" t="str">
        <x:v>Custom</x:v>
      </x:c>
      <x:c r="E194" s="100" t="str">
        <x:v>1,2,3,4,5,6,8,9,10,11,12,13</x:v>
      </x:c>
      <x:c r="F194" s="47" t="str">
        <x:v>Flexible</x:v>
      </x:c>
      <x:c r="G194" s="47"/>
      <x:c r="H194" s="47"/>
      <x:c r="I194" s="47"/>
      <x:c r="J194" s="47"/>
      <x:c r="K194" s="47"/>
      <x:c r="L194" s="47" t="str">
        <x:v>Normal</x:v>
      </x:c>
      <x:c r="M194" s="47" t="str">
        <x:v>No</x:v>
      </x:c>
      <x:c r="N194" s="100"/>
      <x:c r="O194" s="100"/>
      <x:c r="P194" s="100"/>
      <x:c r="Q194" s="100"/>
      <x:c r="R194" s="159"/>
    </x:row>
    <x:row r="195" ht="22" customHeight="1">
      <x:c r="A195" s="56" t="str">
        <x:v>REQ-SBE-SBE1101-QZ-05</x:v>
      </x:c>
      <x:c r="B195" s="107" t="n">
        <x:v>6</x:v>
      </x:c>
      <x:c r="C195" s="107" t="n">
        <x:v>6</x:v>
      </x:c>
      <x:c r="D195" s="13" t="str">
        <x:v>Custom</x:v>
      </x:c>
      <x:c r="E195" s="90" t="str">
        <x:v>6</x:v>
      </x:c>
      <x:c r="F195" s="13" t="str">
        <x:v>Flexible</x:v>
      </x:c>
      <x:c r="G195" s="13"/>
      <x:c r="H195" s="13"/>
      <x:c r="I195" s="13"/>
      <x:c r="J195" s="13"/>
      <x:c r="K195" s="13"/>
      <x:c r="L195" s="13" t="str">
        <x:v>Normal</x:v>
      </x:c>
      <x:c r="M195" s="13" t="str">
        <x:v>No</x:v>
      </x:c>
      <x:c r="N195" s="90"/>
      <x:c r="O195" s="90"/>
      <x:c r="P195" s="90"/>
      <x:c r="Q195" s="90"/>
      <x:c r="R195" s="149"/>
    </x:row>
    <x:row r="196" ht="22" customHeight="1">
      <x:c r="A196" s="57" t="str">
        <x:v>REQ-SBE-SBE3113A-WKS-01</x:v>
      </x:c>
      <x:c r="B196" s="108" t="n">
        <x:v>1</x:v>
      </x:c>
      <x:c r="C196" s="108" t="n">
        <x:v>13</x:v>
      </x:c>
      <x:c r="D196" s="17" t="str">
        <x:v>Custom</x:v>
      </x:c>
      <x:c r="E196" s="91" t="str">
        <x:v>1,2,3,4,5,6,8,9,10,11,12,13</x:v>
      </x:c>
      <x:c r="F196" s="17" t="str">
        <x:v>Flexible</x:v>
      </x:c>
      <x:c r="G196" s="17"/>
      <x:c r="H196" s="17"/>
      <x:c r="I196" s="17"/>
      <x:c r="J196" s="17"/>
      <x:c r="K196" s="17"/>
      <x:c r="L196" s="17" t="str">
        <x:v>Normal</x:v>
      </x:c>
      <x:c r="M196" s="17" t="str">
        <x:v>No</x:v>
      </x:c>
      <x:c r="N196" s="91"/>
      <x:c r="O196" s="91"/>
      <x:c r="P196" s="91"/>
      <x:c r="Q196" s="91"/>
      <x:c r="R196" s="150"/>
    </x:row>
    <x:row r="197" ht="22" customHeight="1">
      <x:c r="A197" s="58" t="str">
        <x:v>REQ-SBE-SBE3113A-SEM-02</x:v>
      </x:c>
      <x:c r="B197" s="109" t="n">
        <x:v>1</x:v>
      </x:c>
      <x:c r="C197" s="109" t="n">
        <x:v>12</x:v>
      </x:c>
      <x:c r="D197" s="20" t="str">
        <x:v>Custom</x:v>
      </x:c>
      <x:c r="E197" s="92" t="str">
        <x:v>1,2,3,4,5,6,8,9,10,11,12</x:v>
      </x:c>
      <x:c r="F197" s="20" t="str">
        <x:v>Flexible</x:v>
      </x:c>
      <x:c r="G197" s="20"/>
      <x:c r="H197" s="20"/>
      <x:c r="I197" s="20"/>
      <x:c r="J197" s="20"/>
      <x:c r="K197" s="20"/>
      <x:c r="L197" s="20" t="str">
        <x:v>Normal</x:v>
      </x:c>
      <x:c r="M197" s="20" t="str">
        <x:v>No</x:v>
      </x:c>
      <x:c r="N197" s="92"/>
      <x:c r="O197" s="92"/>
      <x:c r="P197" s="92"/>
      <x:c r="Q197" s="92"/>
      <x:c r="R197" s="151"/>
    </x:row>
    <x:row r="198" ht="22" customHeight="1">
      <x:c r="A198" s="59" t="str">
        <x:v>REQ-SBE-SBE3124-LEC-01</x:v>
      </x:c>
      <x:c r="B198" s="110" t="n">
        <x:v>1</x:v>
      </x:c>
      <x:c r="C198" s="110" t="n">
        <x:v>1</x:v>
      </x:c>
      <x:c r="D198" s="24" t="str">
        <x:v>Custom</x:v>
      </x:c>
      <x:c r="E198" s="93" t="str">
        <x:v>1</x:v>
      </x:c>
      <x:c r="F198" s="24" t="str">
        <x:v>Flexible</x:v>
      </x:c>
      <x:c r="G198" s="24"/>
      <x:c r="H198" s="24"/>
      <x:c r="I198" s="24"/>
      <x:c r="J198" s="24"/>
      <x:c r="K198" s="24"/>
      <x:c r="L198" s="24" t="str">
        <x:v>Normal</x:v>
      </x:c>
      <x:c r="M198" s="24" t="str">
        <x:v>No</x:v>
      </x:c>
      <x:c r="N198" s="93"/>
      <x:c r="O198" s="93"/>
      <x:c r="P198" s="93"/>
      <x:c r="Q198" s="93"/>
      <x:c r="R198" s="152"/>
    </x:row>
    <x:row r="199" ht="22" customHeight="1">
      <x:c r="A199" s="61" t="str">
        <x:v>REQ-SBE-SBE3124-WKS-02</x:v>
      </x:c>
      <x:c r="B199" s="112" t="n">
        <x:v>2</x:v>
      </x:c>
      <x:c r="C199" s="112" t="n">
        <x:v>2</x:v>
      </x:c>
      <x:c r="D199" s="30" t="str">
        <x:v>Custom</x:v>
      </x:c>
      <x:c r="E199" s="95" t="str">
        <x:v>2</x:v>
      </x:c>
      <x:c r="F199" s="30" t="str">
        <x:v>Flexible</x:v>
      </x:c>
      <x:c r="G199" s="30"/>
      <x:c r="H199" s="30"/>
      <x:c r="I199" s="30"/>
      <x:c r="J199" s="30"/>
      <x:c r="K199" s="30"/>
      <x:c r="L199" s="30" t="str">
        <x:v>Normal</x:v>
      </x:c>
      <x:c r="M199" s="30" t="str">
        <x:v>No</x:v>
      </x:c>
      <x:c r="N199" s="95"/>
      <x:c r="O199" s="95"/>
      <x:c r="P199" s="95"/>
      <x:c r="Q199" s="95"/>
      <x:c r="R199" s="154"/>
    </x:row>
    <x:row r="200" ht="22" customHeight="1">
      <x:c r="A200" s="62" t="str">
        <x:v>REQ-SBE-SBE3131-LEC-01</x:v>
      </x:c>
      <x:c r="B200" s="113" t="n">
        <x:v>1</x:v>
      </x:c>
      <x:c r="C200" s="113" t="n">
        <x:v>13</x:v>
      </x:c>
      <x:c r="D200" s="34" t="str">
        <x:v>Custom</x:v>
      </x:c>
      <x:c r="E200" s="96" t="str">
        <x:v>1,2,3,4,5,6,8,9,10,11,12,13</x:v>
      </x:c>
      <x:c r="F200" s="34" t="str">
        <x:v>Flexible</x:v>
      </x:c>
      <x:c r="G200" s="34"/>
      <x:c r="H200" s="34"/>
      <x:c r="I200" s="34"/>
      <x:c r="J200" s="34"/>
      <x:c r="K200" s="34"/>
      <x:c r="L200" s="34" t="str">
        <x:v>Normal</x:v>
      </x:c>
      <x:c r="M200" s="34" t="str">
        <x:v>No</x:v>
      </x:c>
      <x:c r="N200" s="96"/>
      <x:c r="O200" s="96"/>
      <x:c r="P200" s="96"/>
      <x:c r="Q200" s="96"/>
      <x:c r="R200" s="155"/>
    </x:row>
    <x:row r="201" ht="22" customHeight="1">
      <x:c r="A201" s="63" t="str">
        <x:v>REQ-SBE-SBE3131-TUT-02</x:v>
      </x:c>
      <x:c r="B201" s="114" t="n">
        <x:v>1</x:v>
      </x:c>
      <x:c r="C201" s="114" t="n">
        <x:v>12</x:v>
      </x:c>
      <x:c r="D201" s="37" t="str">
        <x:v>Custom</x:v>
      </x:c>
      <x:c r="E201" s="97" t="str">
        <x:v>1,2,3,4,5,6,8,9,10,11,12</x:v>
      </x:c>
      <x:c r="F201" s="37" t="str">
        <x:v>Flexible</x:v>
      </x:c>
      <x:c r="G201" s="37"/>
      <x:c r="H201" s="37"/>
      <x:c r="I201" s="37"/>
      <x:c r="J201" s="37"/>
      <x:c r="K201" s="37"/>
      <x:c r="L201" s="37" t="str">
        <x:v>Normal</x:v>
      </x:c>
      <x:c r="M201" s="37" t="str">
        <x:v>No</x:v>
      </x:c>
      <x:c r="N201" s="97"/>
      <x:c r="O201" s="97"/>
      <x:c r="P201" s="97"/>
      <x:c r="Q201" s="97"/>
      <x:c r="R201" s="156"/>
    </x:row>
    <x:row r="202" ht="22" customHeight="1">
      <x:c r="A202" s="64" t="str">
        <x:v>REQ-SBE-SBE3132-LCT-01</x:v>
      </x:c>
      <x:c r="B202" s="115" t="n">
        <x:v>1</x:v>
      </x:c>
      <x:c r="C202" s="115" t="n">
        <x:v>13</x:v>
      </x:c>
      <x:c r="D202" s="41" t="str">
        <x:v>Custom</x:v>
      </x:c>
      <x:c r="E202" s="98" t="str">
        <x:v>1,2,5,6,10,11,13</x:v>
      </x:c>
      <x:c r="F202" s="41" t="str">
        <x:v>Flexible</x:v>
      </x:c>
      <x:c r="G202" s="41"/>
      <x:c r="H202" s="41"/>
      <x:c r="I202" s="41"/>
      <x:c r="J202" s="41"/>
      <x:c r="K202" s="41"/>
      <x:c r="L202" s="41" t="str">
        <x:v>Normal</x:v>
      </x:c>
      <x:c r="M202" s="41" t="str">
        <x:v>No</x:v>
      </x:c>
      <x:c r="N202" s="98"/>
      <x:c r="O202" s="98"/>
      <x:c r="P202" s="98"/>
      <x:c r="Q202" s="98"/>
      <x:c r="R202" s="157"/>
    </x:row>
    <x:row r="203" ht="22" customHeight="1">
      <x:c r="A203" s="68" t="str">
        <x:v>REQ-SBE-SBE3132-LCT-02B</x:v>
      </x:c>
      <x:c r="B203" s="119" t="n">
        <x:v>1</x:v>
      </x:c>
      <x:c r="C203" s="119" t="n">
        <x:v>13</x:v>
      </x:c>
      <x:c r="D203" s="53" t="str">
        <x:v>Custom</x:v>
      </x:c>
      <x:c r="E203" s="102" t="str">
        <x:v>1,2,5,6,10,11,13</x:v>
      </x:c>
      <x:c r="F203" s="53" t="str">
        <x:v>Flexible</x:v>
      </x:c>
      <x:c r="G203" s="53"/>
      <x:c r="H203" s="53"/>
      <x:c r="I203" s="53"/>
      <x:c r="J203" s="53"/>
      <x:c r="K203" s="53"/>
      <x:c r="L203" s="53" t="str">
        <x:v>Normal</x:v>
      </x:c>
      <x:c r="M203" s="53" t="str">
        <x:v>No</x:v>
      </x:c>
      <x:c r="N203" s="102"/>
      <x:c r="O203" s="102"/>
      <x:c r="P203" s="102"/>
      <x:c r="Q203" s="102"/>
      <x:c r="R203" s="161"/>
    </x:row>
    <x:row r="204" ht="22" customHeight="1">
      <x:c r="A204" s="65" t="str">
        <x:v>REQ-SBE-SBE3132-TUT-03</x:v>
      </x:c>
      <x:c r="B204" s="116" t="n">
        <x:v>1</x:v>
      </x:c>
      <x:c r="C204" s="116" t="n">
        <x:v>12</x:v>
      </x:c>
      <x:c r="D204" s="44" t="str">
        <x:v>Custom</x:v>
      </x:c>
      <x:c r="E204" s="99" t="str">
        <x:v>1,2,3,4,5,6,8,9,10,11,12</x:v>
      </x:c>
      <x:c r="F204" s="44" t="str">
        <x:v>Flexible</x:v>
      </x:c>
      <x:c r="G204" s="44"/>
      <x:c r="H204" s="44"/>
      <x:c r="I204" s="44"/>
      <x:c r="J204" s="44"/>
      <x:c r="K204" s="44"/>
      <x:c r="L204" s="44" t="str">
        <x:v>Normal</x:v>
      </x:c>
      <x:c r="M204" s="44" t="str">
        <x:v>No</x:v>
      </x:c>
      <x:c r="N204" s="99"/>
      <x:c r="O204" s="99"/>
      <x:c r="P204" s="99"/>
      <x:c r="Q204" s="99"/>
      <x:c r="R204" s="158"/>
    </x:row>
    <x:row r="205" ht="22" customHeight="1">
      <x:c r="A205" s="55" t="str">
        <x:v>REQ-SLT-SLT1203-LEC-01</x:v>
      </x:c>
      <x:c r="B205" s="106" t="n">
        <x:v>1</x:v>
      </x:c>
      <x:c r="C205" s="106" t="n">
        <x:v>13</x:v>
      </x:c>
      <x:c r="D205" s="10" t="str">
        <x:v>Custom</x:v>
      </x:c>
      <x:c r="E205" s="89" t="str">
        <x:v>1,2,3,4,5,6,8,9,10,11,12,13</x:v>
      </x:c>
      <x:c r="F205" s="10" t="str">
        <x:v>Flexible</x:v>
      </x:c>
      <x:c r="G205" s="10"/>
      <x:c r="H205" s="10"/>
      <x:c r="I205" s="10"/>
      <x:c r="J205" s="10"/>
      <x:c r="K205" s="10"/>
      <x:c r="L205" s="10" t="str">
        <x:v>Normal</x:v>
      </x:c>
      <x:c r="M205" s="10" t="str">
        <x:v>No</x:v>
      </x:c>
      <x:c r="N205" s="89"/>
      <x:c r="O205" s="89"/>
      <x:c r="P205" s="89"/>
      <x:c r="Q205" s="89"/>
      <x:c r="R205" s="148"/>
    </x:row>
    <x:row r="206" ht="22" customHeight="1">
      <x:c r="A206" s="56" t="str">
        <x:v>REQ-SLT-SLT1203-TUT-02</x:v>
      </x:c>
      <x:c r="B206" s="107" t="n">
        <x:v>1</x:v>
      </x:c>
      <x:c r="C206" s="107" t="n">
        <x:v>12</x:v>
      </x:c>
      <x:c r="D206" s="13" t="str">
        <x:v>Custom</x:v>
      </x:c>
      <x:c r="E206" s="90" t="str">
        <x:v>1,2,3,4,5,6,8,9,10,11,12</x:v>
      </x:c>
      <x:c r="F206" s="13" t="str">
        <x:v>Flexible</x:v>
      </x:c>
      <x:c r="G206" s="13"/>
      <x:c r="H206" s="13"/>
      <x:c r="I206" s="13"/>
      <x:c r="J206" s="13"/>
      <x:c r="K206" s="13"/>
      <x:c r="L206" s="13" t="str">
        <x:v>Normal</x:v>
      </x:c>
      <x:c r="M206" s="13" t="str">
        <x:v>No</x:v>
      </x:c>
      <x:c r="N206" s="90"/>
      <x:c r="O206" s="90"/>
      <x:c r="P206" s="90"/>
      <x:c r="Q206" s="90"/>
      <x:c r="R206" s="149"/>
    </x:row>
    <x:row r="207" ht="22" customHeight="1">
      <x:c r="A207" s="57" t="str">
        <x:v>REQ-SLT-SLT1204-LCT-01</x:v>
      </x:c>
      <x:c r="B207" s="108" t="n">
        <x:v>1</x:v>
      </x:c>
      <x:c r="C207" s="108" t="n">
        <x:v>13</x:v>
      </x:c>
      <x:c r="D207" s="17" t="str">
        <x:v>Custom</x:v>
      </x:c>
      <x:c r="E207" s="91" t="str">
        <x:v>1,2,3,4,5,6,8,9,10,11,12,13</x:v>
      </x:c>
      <x:c r="F207" s="17" t="str">
        <x:v>Flexible</x:v>
      </x:c>
      <x:c r="G207" s="17"/>
      <x:c r="H207" s="17"/>
      <x:c r="I207" s="17"/>
      <x:c r="J207" s="17"/>
      <x:c r="K207" s="17"/>
      <x:c r="L207" s="17" t="str">
        <x:v>Normal</x:v>
      </x:c>
      <x:c r="M207" s="17" t="str">
        <x:v>No</x:v>
      </x:c>
      <x:c r="N207" s="91"/>
      <x:c r="O207" s="91"/>
      <x:c r="P207" s="91"/>
      <x:c r="Q207" s="91"/>
      <x:c r="R207" s="150"/>
    </x:row>
    <x:row r="208" ht="22" customHeight="1">
      <x:c r="A208" s="58" t="str">
        <x:v>REQ-SLT-SLT1204-TUT-02</x:v>
      </x:c>
      <x:c r="B208" s="109" t="n">
        <x:v>1</x:v>
      </x:c>
      <x:c r="C208" s="109" t="n">
        <x:v>12</x:v>
      </x:c>
      <x:c r="D208" s="20" t="str">
        <x:v>Custom</x:v>
      </x:c>
      <x:c r="E208" s="92" t="str">
        <x:v>1,2,3,4,5,6,8,9,10,11,12</x:v>
      </x:c>
      <x:c r="F208" s="20" t="str">
        <x:v>Flexible</x:v>
      </x:c>
      <x:c r="G208" s="20"/>
      <x:c r="H208" s="20"/>
      <x:c r="I208" s="20"/>
      <x:c r="J208" s="20"/>
      <x:c r="K208" s="20"/>
      <x:c r="L208" s="20" t="str">
        <x:v>Normal</x:v>
      </x:c>
      <x:c r="M208" s="20" t="str">
        <x:v>No</x:v>
      </x:c>
      <x:c r="N208" s="92"/>
      <x:c r="O208" s="92"/>
      <x:c r="P208" s="92"/>
      <x:c r="Q208" s="92"/>
      <x:c r="R208" s="151"/>
    </x:row>
    <x:row r="209" ht="22" customHeight="1">
      <x:c r="A209" s="59" t="str">
        <x:v>REQ-SLT-SLT2203-LEC-01</x:v>
      </x:c>
      <x:c r="B209" s="110" t="n">
        <x:v>1</x:v>
      </x:c>
      <x:c r="C209" s="110" t="n">
        <x:v>13</x:v>
      </x:c>
      <x:c r="D209" s="24" t="str">
        <x:v>Custom</x:v>
      </x:c>
      <x:c r="E209" s="93" t="str">
        <x:v>1,2,3,4,5,6,8,9,10,11,12,13</x:v>
      </x:c>
      <x:c r="F209" s="24" t="str">
        <x:v>Flexible</x:v>
      </x:c>
      <x:c r="G209" s="24"/>
      <x:c r="H209" s="24"/>
      <x:c r="I209" s="24"/>
      <x:c r="J209" s="24"/>
      <x:c r="K209" s="24"/>
      <x:c r="L209" s="24" t="str">
        <x:v>Normal</x:v>
      </x:c>
      <x:c r="M209" s="24" t="str">
        <x:v>No</x:v>
      </x:c>
      <x:c r="N209" s="93"/>
      <x:c r="O209" s="93"/>
      <x:c r="P209" s="93"/>
      <x:c r="Q209" s="93"/>
      <x:c r="R209" s="152"/>
    </x:row>
    <x:row r="210" ht="22" customHeight="1">
      <x:c r="A210" s="60" t="str">
        <x:v>REQ-SLT-SLT2203-TUT-02</x:v>
      </x:c>
      <x:c r="B210" s="111" t="n">
        <x:v>1</x:v>
      </x:c>
      <x:c r="C210" s="111" t="n">
        <x:v>12</x:v>
      </x:c>
      <x:c r="D210" s="27" t="str">
        <x:v>Custom</x:v>
      </x:c>
      <x:c r="E210" s="94" t="str">
        <x:v>1,2,3,4,5,6,8,9,10,11,12</x:v>
      </x:c>
      <x:c r="F210" s="27" t="str">
        <x:v>Flexible</x:v>
      </x:c>
      <x:c r="G210" s="27"/>
      <x:c r="H210" s="27"/>
      <x:c r="I210" s="27"/>
      <x:c r="J210" s="27"/>
      <x:c r="K210" s="27"/>
      <x:c r="L210" s="27" t="str">
        <x:v>Normal</x:v>
      </x:c>
      <x:c r="M210" s="27" t="str">
        <x:v>No</x:v>
      </x:c>
      <x:c r="N210" s="94"/>
      <x:c r="O210" s="94"/>
      <x:c r="P210" s="94"/>
      <x:c r="Q210" s="94"/>
      <x:c r="R210" s="153"/>
    </x:row>
    <x:row r="211" ht="22" customHeight="1">
      <x:c r="A211" s="61" t="str">
        <x:v>REQ-SLT-SLT2203-QZ-03</x:v>
      </x:c>
      <x:c r="B211" s="112" t="n">
        <x:v>6</x:v>
      </x:c>
      <x:c r="C211" s="112" t="n">
        <x:v>6</x:v>
      </x:c>
      <x:c r="D211" s="30" t="str">
        <x:v>Custom</x:v>
      </x:c>
      <x:c r="E211" s="95" t="str">
        <x:v>6</x:v>
      </x:c>
      <x:c r="F211" s="30" t="str">
        <x:v>Flexible</x:v>
      </x:c>
      <x:c r="G211" s="30"/>
      <x:c r="H211" s="30"/>
      <x:c r="I211" s="30"/>
      <x:c r="J211" s="30"/>
      <x:c r="K211" s="30"/>
      <x:c r="L211" s="30" t="str">
        <x:v>Normal</x:v>
      </x:c>
      <x:c r="M211" s="30" t="str">
        <x:v>No</x:v>
      </x:c>
      <x:c r="N211" s="95"/>
      <x:c r="O211" s="95"/>
      <x:c r="P211" s="95"/>
      <x:c r="Q211" s="95"/>
      <x:c r="R211" s="154"/>
    </x:row>
    <x:row r="212" ht="22" customHeight="1">
      <x:c r="A212" s="62" t="str">
        <x:v>REQ-SLT-SLT2204-WKS-01</x:v>
      </x:c>
      <x:c r="B212" s="113" t="n">
        <x:v>1</x:v>
      </x:c>
      <x:c r="C212" s="113" t="n">
        <x:v>13</x:v>
      </x:c>
      <x:c r="D212" s="34" t="str">
        <x:v>Custom</x:v>
      </x:c>
      <x:c r="E212" s="96" t="str">
        <x:v>1,2,3,4,5,6,8,9,10,11,12,13</x:v>
      </x:c>
      <x:c r="F212" s="34" t="str">
        <x:v>Flexible</x:v>
      </x:c>
      <x:c r="G212" s="34"/>
      <x:c r="H212" s="34"/>
      <x:c r="I212" s="34"/>
      <x:c r="J212" s="34"/>
      <x:c r="K212" s="34"/>
      <x:c r="L212" s="34" t="str">
        <x:v>Normal</x:v>
      </x:c>
      <x:c r="M212" s="34" t="str">
        <x:v>No</x:v>
      </x:c>
      <x:c r="N212" s="96"/>
      <x:c r="O212" s="96"/>
      <x:c r="P212" s="96"/>
      <x:c r="Q212" s="96"/>
      <x:c r="R212" s="155"/>
    </x:row>
    <x:row r="213" ht="22" customHeight="1">
      <x:c r="A213" s="63" t="str">
        <x:v>REQ-SLT-SLT2204-SEM-02</x:v>
      </x:c>
      <x:c r="B213" s="114" t="n">
        <x:v>1</x:v>
      </x:c>
      <x:c r="C213" s="114" t="n">
        <x:v>12</x:v>
      </x:c>
      <x:c r="D213" s="37" t="str">
        <x:v>Custom</x:v>
      </x:c>
      <x:c r="E213" s="97" t="str">
        <x:v>1,2,3,4,5,6,8,9,10,11,12</x:v>
      </x:c>
      <x:c r="F213" s="37" t="str">
        <x:v>Flexible</x:v>
      </x:c>
      <x:c r="G213" s="37"/>
      <x:c r="H213" s="37"/>
      <x:c r="I213" s="37"/>
      <x:c r="J213" s="37"/>
      <x:c r="K213" s="37"/>
      <x:c r="L213" s="37" t="str">
        <x:v>Normal</x:v>
      </x:c>
      <x:c r="M213" s="37" t="str">
        <x:v>No</x:v>
      </x:c>
      <x:c r="N213" s="97"/>
      <x:c r="O213" s="97"/>
      <x:c r="P213" s="97"/>
      <x:c r="Q213" s="97"/>
      <x:c r="R213" s="156"/>
    </x:row>
    <x:row r="214" ht="22" customHeight="1">
      <x:c r="A214" s="64" t="str">
        <x:v>REQ-SLT-SLT3202-LEC-01</x:v>
      </x:c>
      <x:c r="B214" s="115" t="n">
        <x:v>1</x:v>
      </x:c>
      <x:c r="C214" s="115" t="n">
        <x:v>13</x:v>
      </x:c>
      <x:c r="D214" s="41" t="str">
        <x:v>Custom</x:v>
      </x:c>
      <x:c r="E214" s="98" t="str">
        <x:v>1,2,3,4,5,6,8,9,10,11,12,13</x:v>
      </x:c>
      <x:c r="F214" s="41" t="str">
        <x:v>Flexible</x:v>
      </x:c>
      <x:c r="G214" s="41"/>
      <x:c r="H214" s="41"/>
      <x:c r="I214" s="41"/>
      <x:c r="J214" s="41"/>
      <x:c r="K214" s="41"/>
      <x:c r="L214" s="41" t="str">
        <x:v>Normal</x:v>
      </x:c>
      <x:c r="M214" s="41" t="str">
        <x:v>No</x:v>
      </x:c>
      <x:c r="N214" s="98"/>
      <x:c r="O214" s="98"/>
      <x:c r="P214" s="98"/>
      <x:c r="Q214" s="98"/>
      <x:c r="R214" s="157"/>
    </x:row>
    <x:row r="215" ht="22" customHeight="1">
      <x:c r="A215" s="65" t="str">
        <x:v>REQ-SLT-SLT3202-TUT-02</x:v>
      </x:c>
      <x:c r="B215" s="116" t="n">
        <x:v>1</x:v>
      </x:c>
      <x:c r="C215" s="116" t="n">
        <x:v>12</x:v>
      </x:c>
      <x:c r="D215" s="44" t="str">
        <x:v>Custom</x:v>
      </x:c>
      <x:c r="E215" s="99" t="str">
        <x:v>1,2,3,4,5,6,8,9,10,11,12</x:v>
      </x:c>
      <x:c r="F215" s="44" t="str">
        <x:v>Flexible</x:v>
      </x:c>
      <x:c r="G215" s="44"/>
      <x:c r="H215" s="44"/>
      <x:c r="I215" s="44"/>
      <x:c r="J215" s="44"/>
      <x:c r="K215" s="44"/>
      <x:c r="L215" s="44" t="str">
        <x:v>Normal</x:v>
      </x:c>
      <x:c r="M215" s="44" t="str">
        <x:v>No</x:v>
      </x:c>
      <x:c r="N215" s="99"/>
      <x:c r="O215" s="99"/>
      <x:c r="P215" s="99"/>
      <x:c r="Q215" s="99"/>
      <x:c r="R215" s="158"/>
    </x:row>
    <x:row r="216" ht="22" customHeight="1">
      <x:c r="A216" s="55" t="str">
        <x:v>REQ-TCE-TCE1043-LEC-01</x:v>
      </x:c>
      <x:c r="B216" s="106" t="n">
        <x:v>1</x:v>
      </x:c>
      <x:c r="C216" s="106" t="n">
        <x:v>13</x:v>
      </x:c>
      <x:c r="D216" s="10" t="str">
        <x:v>Custom</x:v>
      </x:c>
      <x:c r="E216" s="89" t="str">
        <x:v>1,2,3,4,5,6,8,9,10,11,12,13</x:v>
      </x:c>
      <x:c r="F216" s="10" t="str">
        <x:v>Flexible</x:v>
      </x:c>
      <x:c r="G216" s="10"/>
      <x:c r="H216" s="10"/>
      <x:c r="I216" s="10"/>
      <x:c r="J216" s="10"/>
      <x:c r="K216" s="10"/>
      <x:c r="L216" s="10" t="str">
        <x:v>Normal</x:v>
      </x:c>
      <x:c r="M216" s="10" t="str">
        <x:v>No</x:v>
      </x:c>
      <x:c r="N216" s="89"/>
      <x:c r="O216" s="89"/>
      <x:c r="P216" s="89"/>
      <x:c r="Q216" s="89"/>
      <x:c r="R216" s="148"/>
    </x:row>
    <x:row r="217" ht="22" customHeight="1">
      <x:c r="A217" s="56" t="str">
        <x:v>REQ-TCE-TCE1043-TUT-02</x:v>
      </x:c>
      <x:c r="B217" s="107" t="n">
        <x:v>1</x:v>
      </x:c>
      <x:c r="C217" s="107" t="n">
        <x:v>12</x:v>
      </x:c>
      <x:c r="D217" s="13" t="str">
        <x:v>Custom</x:v>
      </x:c>
      <x:c r="E217" s="90" t="str">
        <x:v>1,2,3,4,5,6,8,9,10,11,12</x:v>
      </x:c>
      <x:c r="F217" s="13" t="str">
        <x:v>Flexible</x:v>
      </x:c>
      <x:c r="G217" s="13"/>
      <x:c r="H217" s="13"/>
      <x:c r="I217" s="13"/>
      <x:c r="J217" s="13"/>
      <x:c r="K217" s="13"/>
      <x:c r="L217" s="13" t="str">
        <x:v>Normal</x:v>
      </x:c>
      <x:c r="M217" s="13" t="str">
        <x:v>No</x:v>
      </x:c>
      <x:c r="N217" s="90"/>
      <x:c r="O217" s="90"/>
      <x:c r="P217" s="90"/>
      <x:c r="Q217" s="90"/>
      <x:c r="R217" s="149"/>
    </x:row>
    <x:row r="218" ht="22" customHeight="1">
      <x:c r="A218" s="57" t="str">
        <x:v>REQ-TCE-TCE1048-LCT-01</x:v>
      </x:c>
      <x:c r="B218" s="108" t="n">
        <x:v>1</x:v>
      </x:c>
      <x:c r="C218" s="108" t="n">
        <x:v>13</x:v>
      </x:c>
      <x:c r="D218" s="17" t="str">
        <x:v>Custom</x:v>
      </x:c>
      <x:c r="E218" s="91" t="str">
        <x:v>1,2,3,4,5,6,8,9,10,11,12,13</x:v>
      </x:c>
      <x:c r="F218" s="17" t="str">
        <x:v>Flexible</x:v>
      </x:c>
      <x:c r="G218" s="17"/>
      <x:c r="H218" s="17"/>
      <x:c r="I218" s="17"/>
      <x:c r="J218" s="17"/>
      <x:c r="K218" s="17"/>
      <x:c r="L218" s="17" t="str">
        <x:v>Normal</x:v>
      </x:c>
      <x:c r="M218" s="17" t="str">
        <x:v>No</x:v>
      </x:c>
      <x:c r="N218" s="91"/>
      <x:c r="O218" s="91"/>
      <x:c r="P218" s="91"/>
      <x:c r="Q218" s="91"/>
      <x:c r="R218" s="150"/>
    </x:row>
    <x:row r="219" ht="22" customHeight="1">
      <x:c r="A219" s="58" t="str">
        <x:v>REQ-TCE-TCE1048-TUT-02</x:v>
      </x:c>
      <x:c r="B219" s="109" t="n">
        <x:v>1</x:v>
      </x:c>
      <x:c r="C219" s="109" t="n">
        <x:v>12</x:v>
      </x:c>
      <x:c r="D219" s="20" t="str">
        <x:v>Custom</x:v>
      </x:c>
      <x:c r="E219" s="92" t="str">
        <x:v>1,2,3,4,5,6,8,9,10,11,12</x:v>
      </x:c>
      <x:c r="F219" s="20" t="str">
        <x:v>Flexible</x:v>
      </x:c>
      <x:c r="G219" s="20"/>
      <x:c r="H219" s="20"/>
      <x:c r="I219" s="20"/>
      <x:c r="J219" s="20"/>
      <x:c r="K219" s="20"/>
      <x:c r="L219" s="20" t="str">
        <x:v>Normal</x:v>
      </x:c>
      <x:c r="M219" s="20" t="str">
        <x:v>No</x:v>
      </x:c>
      <x:c r="N219" s="92"/>
      <x:c r="O219" s="92"/>
      <x:c r="P219" s="92"/>
      <x:c r="Q219" s="92"/>
      <x:c r="R219" s="151"/>
    </x:row>
    <x:row r="220" ht="22" customHeight="1">
      <x:c r="A220" s="59" t="str">
        <x:v>REQ-TCE-TCE1049-LEC-01</x:v>
      </x:c>
      <x:c r="B220" s="110" t="n">
        <x:v>1</x:v>
      </x:c>
      <x:c r="C220" s="110" t="n">
        <x:v>13</x:v>
      </x:c>
      <x:c r="D220" s="24" t="str">
        <x:v>Custom</x:v>
      </x:c>
      <x:c r="E220" s="93" t="str">
        <x:v>1,2,3,4,5,6,8,9,10,11,12,13</x:v>
      </x:c>
      <x:c r="F220" s="24" t="str">
        <x:v>Flexible</x:v>
      </x:c>
      <x:c r="G220" s="24"/>
      <x:c r="H220" s="24"/>
      <x:c r="I220" s="24"/>
      <x:c r="J220" s="24"/>
      <x:c r="K220" s="24"/>
      <x:c r="L220" s="24" t="str">
        <x:v>Normal</x:v>
      </x:c>
      <x:c r="M220" s="24" t="str">
        <x:v>No</x:v>
      </x:c>
      <x:c r="N220" s="93"/>
      <x:c r="O220" s="93"/>
      <x:c r="P220" s="93"/>
      <x:c r="Q220" s="93"/>
      <x:c r="R220" s="152"/>
    </x:row>
    <x:row r="221" ht="22" customHeight="1">
      <x:c r="A221" s="60" t="str">
        <x:v>REQ-TCE-TCE1049-TUT-02</x:v>
      </x:c>
      <x:c r="B221" s="111" t="n">
        <x:v>1</x:v>
      </x:c>
      <x:c r="C221" s="111" t="n">
        <x:v>12</x:v>
      </x:c>
      <x:c r="D221" s="27" t="str">
        <x:v>Custom</x:v>
      </x:c>
      <x:c r="E221" s="94" t="str">
        <x:v>1,2,3,4,5,6,8,9,10,11,12</x:v>
      </x:c>
      <x:c r="F221" s="27" t="str">
        <x:v>Flexible</x:v>
      </x:c>
      <x:c r="G221" s="27"/>
      <x:c r="H221" s="27"/>
      <x:c r="I221" s="27"/>
      <x:c r="J221" s="27"/>
      <x:c r="K221" s="27"/>
      <x:c r="L221" s="27" t="str">
        <x:v>Normal</x:v>
      </x:c>
      <x:c r="M221" s="27" t="str">
        <x:v>No</x:v>
      </x:c>
      <x:c r="N221" s="94"/>
      <x:c r="O221" s="94"/>
      <x:c r="P221" s="94"/>
      <x:c r="Q221" s="94"/>
      <x:c r="R221" s="153"/>
    </x:row>
    <x:row r="222" ht="22" customHeight="1">
      <x:c r="A222" s="61" t="str">
        <x:v>REQ-TCE-TCE1049-QZ-03</x:v>
      </x:c>
      <x:c r="B222" s="112" t="n">
        <x:v>6</x:v>
      </x:c>
      <x:c r="C222" s="112" t="n">
        <x:v>6</x:v>
      </x:c>
      <x:c r="D222" s="30" t="str">
        <x:v>Custom</x:v>
      </x:c>
      <x:c r="E222" s="95" t="str">
        <x:v>6</x:v>
      </x:c>
      <x:c r="F222" s="30" t="str">
        <x:v>Flexible</x:v>
      </x:c>
      <x:c r="G222" s="30"/>
      <x:c r="H222" s="30"/>
      <x:c r="I222" s="30"/>
      <x:c r="J222" s="30"/>
      <x:c r="K222" s="30"/>
      <x:c r="L222" s="30" t="str">
        <x:v>Normal</x:v>
      </x:c>
      <x:c r="M222" s="30" t="str">
        <x:v>No</x:v>
      </x:c>
      <x:c r="N222" s="95"/>
      <x:c r="O222" s="95"/>
      <x:c r="P222" s="95"/>
      <x:c r="Q222" s="95"/>
      <x:c r="R222" s="154"/>
    </x:row>
    <x:row r="223" ht="22" customHeight="1">
      <x:c r="A223" s="62" t="str">
        <x:v>REQ-TCE-TCE2025-WKS-01</x:v>
      </x:c>
      <x:c r="B223" s="113" t="n">
        <x:v>1</x:v>
      </x:c>
      <x:c r="C223" s="113" t="n">
        <x:v>13</x:v>
      </x:c>
      <x:c r="D223" s="34" t="str">
        <x:v>Custom</x:v>
      </x:c>
      <x:c r="E223" s="96" t="str">
        <x:v>1,2,3,4,5,6,8,9,10,11,12,13</x:v>
      </x:c>
      <x:c r="F223" s="34" t="str">
        <x:v>Flexible</x:v>
      </x:c>
      <x:c r="G223" s="34"/>
      <x:c r="H223" s="34"/>
      <x:c r="I223" s="34"/>
      <x:c r="J223" s="34"/>
      <x:c r="K223" s="34"/>
      <x:c r="L223" s="34" t="str">
        <x:v>Normal</x:v>
      </x:c>
      <x:c r="M223" s="34" t="str">
        <x:v>No</x:v>
      </x:c>
      <x:c r="N223" s="96"/>
      <x:c r="O223" s="96"/>
      <x:c r="P223" s="96"/>
      <x:c r="Q223" s="96"/>
      <x:c r="R223" s="155"/>
    </x:row>
    <x:row r="224" ht="22" customHeight="1">
      <x:c r="A224" s="63" t="str">
        <x:v>REQ-TCE-TCE2025-SEM-02</x:v>
      </x:c>
      <x:c r="B224" s="114" t="n">
        <x:v>1</x:v>
      </x:c>
      <x:c r="C224" s="114" t="n">
        <x:v>12</x:v>
      </x:c>
      <x:c r="D224" s="37" t="str">
        <x:v>Custom</x:v>
      </x:c>
      <x:c r="E224" s="97" t="str">
        <x:v>1,2,3,4,5,6,8,9,10,11,12</x:v>
      </x:c>
      <x:c r="F224" s="37" t="str">
        <x:v>Flexible</x:v>
      </x:c>
      <x:c r="G224" s="37"/>
      <x:c r="H224" s="37"/>
      <x:c r="I224" s="37"/>
      <x:c r="J224" s="37"/>
      <x:c r="K224" s="37"/>
      <x:c r="L224" s="37" t="str">
        <x:v>Normal</x:v>
      </x:c>
      <x:c r="M224" s="37" t="str">
        <x:v>No</x:v>
      </x:c>
      <x:c r="N224" s="97"/>
      <x:c r="O224" s="97"/>
      <x:c r="P224" s="97"/>
      <x:c r="Q224" s="97"/>
      <x:c r="R224" s="156"/>
    </x:row>
    <x:row r="225" ht="22" customHeight="1">
      <x:c r="A225" s="64" t="str">
        <x:v>REQ-TCE-TCE2040-LEC-01</x:v>
      </x:c>
      <x:c r="B225" s="115" t="n">
        <x:v>1</x:v>
      </x:c>
      <x:c r="C225" s="115" t="n">
        <x:v>13</x:v>
      </x:c>
      <x:c r="D225" s="41" t="str">
        <x:v>Custom</x:v>
      </x:c>
      <x:c r="E225" s="98" t="str">
        <x:v>1,2,3,4,5,6,8,9,10,11,12,13</x:v>
      </x:c>
      <x:c r="F225" s="41" t="str">
        <x:v>Flexible</x:v>
      </x:c>
      <x:c r="G225" s="41"/>
      <x:c r="H225" s="41"/>
      <x:c r="I225" s="41"/>
      <x:c r="J225" s="41"/>
      <x:c r="K225" s="41"/>
      <x:c r="L225" s="41" t="str">
        <x:v>Normal</x:v>
      </x:c>
      <x:c r="M225" s="41" t="str">
        <x:v>No</x:v>
      </x:c>
      <x:c r="N225" s="98"/>
      <x:c r="O225" s="98"/>
      <x:c r="P225" s="98"/>
      <x:c r="Q225" s="98"/>
      <x:c r="R225" s="157"/>
    </x:row>
    <x:row r="226" ht="22" customHeight="1">
      <x:c r="A226" s="65" t="str">
        <x:v>REQ-TCE-TCE2040-TUT-02</x:v>
      </x:c>
      <x:c r="B226" s="116" t="n">
        <x:v>1</x:v>
      </x:c>
      <x:c r="C226" s="116" t="n">
        <x:v>12</x:v>
      </x:c>
      <x:c r="D226" s="44" t="str">
        <x:v>Custom</x:v>
      </x:c>
      <x:c r="E226" s="99" t="str">
        <x:v>1,2,3,4,5,6,8,9,10,11,12</x:v>
      </x:c>
      <x:c r="F226" s="44" t="str">
        <x:v>Flexible</x:v>
      </x:c>
      <x:c r="G226" s="44"/>
      <x:c r="H226" s="44"/>
      <x:c r="I226" s="44"/>
      <x:c r="J226" s="44"/>
      <x:c r="K226" s="44"/>
      <x:c r="L226" s="44" t="str">
        <x:v>Normal</x:v>
      </x:c>
      <x:c r="M226" s="44" t="str">
        <x:v>No</x:v>
      </x:c>
      <x:c r="N226" s="99"/>
      <x:c r="O226" s="99"/>
      <x:c r="P226" s="99"/>
      <x:c r="Q226" s="99"/>
      <x:c r="R226" s="158"/>
    </x:row>
  </x:sheetData>
  <x:dataValidations count="4">
    <x:dataValidation type="whole" operator="between" sqref="B2:C226">
      <x:formula1>1</x:formula1>
      <x:formula2>13</x:formula2>
    </x:dataValidation>
    <x:dataValidation type="list" sqref="D2:D226">
      <x:formula1>"Weekly,Odd,Even,Custom"</x:formula1>
    </x:dataValidation>
    <x:dataValidation type="list" sqref="F2:F226">
      <x:formula1>"Flexible,Fixed"</x:formula1>
    </x:dataValidation>
    <x:dataValidation type="list" sqref="L2:L226">
      <x:formula1>"Low,Normal,High,Hard"</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16" hidden="0" customWidth="1"/>
    <x:col min="4" max="4" width="16" hidden="0" customWidth="1"/>
    <x:col min="5" max="5" width="16" hidden="0" customWidth="1"/>
    <x:col min="6" max="6" width="16" hidden="0" customWidth="1"/>
    <x:col min="7" max="7" width="16" hidden="0" customWidth="1"/>
    <x:col min="8" max="8" width="18" hidden="0" customWidth="1"/>
    <x:col min="9" max="9" width="14" hidden="0" customWidth="1"/>
  </x:cols>
  <x:sheetData>
    <x:row r="1" ht="32" customHeight="1">
      <x:c r="A1" s="164" t="str">
        <x:v>20-Programme Coverage Summary</x:v>
      </x:c>
      <x:c r="B1" s="164"/>
      <x:c r="C1" s="164"/>
      <x:c r="D1" s="164"/>
      <x:c r="E1" s="164"/>
      <x:c r="F1" s="164"/>
      <x:c r="G1" s="164"/>
      <x:c r="H1" s="164"/>
      <x:c r="I1" s="164"/>
    </x:row>
    <x:row r="3" ht="34" customHeight="1">
      <x:c r="A3" s="169" t="str">
        <x:v>Programme</x:v>
      </x:c>
      <x:c r="B3" s="169" t="str">
        <x:v>Distinct Modules Present</x:v>
      </x:c>
      <x:c r="C3" s="169" t="str">
        <x:v>Module 1</x:v>
      </x:c>
      <x:c r="D3" s="169" t="str">
        <x:v>Module 2</x:v>
      </x:c>
      <x:c r="E3" s="169" t="str">
        <x:v>Module 3</x:v>
      </x:c>
      <x:c r="F3" s="169" t="str">
        <x:v>Module 4</x:v>
      </x:c>
      <x:c r="G3" s="169" t="str">
        <x:v>Module 5</x:v>
      </x:c>
      <x:c r="H3" s="169" t="str">
        <x:v>Requirement Rows</x:v>
      </x:c>
      <x:c r="I3" s="169" t="str">
        <x:v>Status</x:v>
      </x:c>
    </x:row>
    <x:row r="4" ht="22" customHeight="1">
      <x:c r="A4" s="170" t="str">
        <x:v>ACC</x:v>
      </x:c>
      <x:c r="B4" s="47" t="n">
        <x:f>IF(COUNTIFS('Input_Template'!$B$2:$B$226,A4,'Input_Template'!$E$2:$E$226,C4)&gt;0,1,0)+IF(COUNTIFS('Input_Template'!$B$2:$B$226,A4,'Input_Template'!$E$2:$E$226,D4)&gt;0,1,0)+IF(COUNTIFS('Input_Template'!$B$2:$B$226,A4,'Input_Template'!$E$2:$E$226,E4)&gt;0,1,0)+IF(COUNTIFS('Input_Template'!$B$2:$B$226,A4,'Input_Template'!$E$2:$E$226,F4)&gt;0,1,0)+IF(COUNTIFS('Input_Template'!$B$2:$B$226,A4,'Input_Template'!$E$2:$E$226,G4)&gt;0,1,0)</x:f>
        <x:v>5</x:v>
      </x:c>
      <x:c r="C4" s="47" t="str">
        <x:v>ACC1023</x:v>
      </x:c>
      <x:c r="D4" s="47" t="str">
        <x:v>ACC1024</x:v>
      </x:c>
      <x:c r="E4" s="47" t="str">
        <x:v>ACC1025</x:v>
      </x:c>
      <x:c r="F4" s="47" t="str">
        <x:v>ACC1026</x:v>
      </x:c>
      <x:c r="G4" s="47" t="str">
        <x:v>ACC3011</x:v>
      </x:c>
      <x:c r="H4" s="47" t="n">
        <x:f>COUNTIF('Input_Template'!$B$2:$B$226,A4)</x:f>
        <x:v>11</x:v>
      </x:c>
      <x:c r="I4" s="47" t="str">
        <x:f>IF(B4&gt;=5,"PASS","REVIEW")</x:f>
        <x:v>PASS</x:v>
      </x:c>
    </x:row>
    <x:row r="5" ht="22" customHeight="1">
      <x:c r="A5" s="171" t="str">
        <x:v>ASE</x:v>
      </x:c>
      <x:c r="B5" s="50" t="n">
        <x:f>IF(COUNTIFS('Input_Template'!$B$2:$B$226,A5,'Input_Template'!$E$2:$E$226,C5)&gt;0,1,0)+IF(COUNTIFS('Input_Template'!$B$2:$B$226,A5,'Input_Template'!$E$2:$E$226,D5)&gt;0,1,0)+IF(COUNTIFS('Input_Template'!$B$2:$B$226,A5,'Input_Template'!$E$2:$E$226,E5)&gt;0,1,0)+IF(COUNTIFS('Input_Template'!$B$2:$B$226,A5,'Input_Template'!$E$2:$E$226,F5)&gt;0,1,0)+IF(COUNTIFS('Input_Template'!$B$2:$B$226,A5,'Input_Template'!$E$2:$E$226,G5)&gt;0,1,0)</x:f>
        <x:v>5</x:v>
      </x:c>
      <x:c r="C5" s="50" t="str">
        <x:v>ASE1101</x:v>
      </x:c>
      <x:c r="D5" s="50" t="str">
        <x:v>ASE1201</x:v>
      </x:c>
      <x:c r="E5" s="50" t="str">
        <x:v>ASE1202</x:v>
      </x:c>
      <x:c r="F5" s="50" t="str">
        <x:v>ASE2210</x:v>
      </x:c>
      <x:c r="G5" s="50" t="str">
        <x:v>ASE3106</x:v>
      </x:c>
      <x:c r="H5" s="50" t="n">
        <x:f>COUNTIF('Input_Template'!$B$2:$B$226,A5)</x:f>
        <x:v>11</x:v>
      </x:c>
      <x:c r="I5" s="50" t="str">
        <x:f>IF(B5&gt;=5,"PASS","REVIEW")</x:f>
        <x:v>PASS</x:v>
      </x:c>
    </x:row>
    <x:row r="6" ht="22" customHeight="1">
      <x:c r="A6" s="172" t="str">
        <x:v>ATM</x:v>
      </x:c>
      <x:c r="B6" s="27" t="n">
        <x:f>IF(COUNTIFS('Input_Template'!$B$2:$B$226,A6,'Input_Template'!$E$2:$E$226,C6)&gt;0,1,0)+IF(COUNTIFS('Input_Template'!$B$2:$B$226,A6,'Input_Template'!$E$2:$E$226,D6)&gt;0,1,0)+IF(COUNTIFS('Input_Template'!$B$2:$B$226,A6,'Input_Template'!$E$2:$E$226,E6)&gt;0,1,0)+IF(COUNTIFS('Input_Template'!$B$2:$B$226,A6,'Input_Template'!$E$2:$E$226,F6)&gt;0,1,0)+IF(COUNTIFS('Input_Template'!$B$2:$B$226,A6,'Input_Template'!$E$2:$E$226,G6)&gt;0,1,0)</x:f>
        <x:v>5</x:v>
      </x:c>
      <x:c r="C6" s="27" t="str">
        <x:v>ATM1104</x:v>
      </x:c>
      <x:c r="D6" s="27" t="str">
        <x:v>ATM1105</x:v>
      </x:c>
      <x:c r="E6" s="27" t="str">
        <x:v>ATM1106</x:v>
      </x:c>
      <x:c r="F6" s="27" t="str">
        <x:v>ATM3301</x:v>
      </x:c>
      <x:c r="G6" s="27" t="str">
        <x:v>ATM3302</x:v>
      </x:c>
      <x:c r="H6" s="27" t="n">
        <x:f>COUNTIF('Input_Template'!$B$2:$B$226,A6)</x:f>
        <x:v>11</x:v>
      </x:c>
      <x:c r="I6" s="27" t="str">
        <x:f>IF(B6&gt;=5,"PASS","REVIEW")</x:f>
        <x:v>PASS</x:v>
      </x:c>
    </x:row>
    <x:row r="7" ht="22" customHeight="1">
      <x:c r="A7" s="173" t="str">
        <x:v>BAC</x:v>
      </x:c>
      <x:c r="B7" s="104" t="n">
        <x:f>IF(COUNTIFS('Input_Template'!$B$2:$B$226,A7,'Input_Template'!$E$2:$E$226,C7)&gt;0,1,0)+IF(COUNTIFS('Input_Template'!$B$2:$B$226,A7,'Input_Template'!$E$2:$E$226,D7)&gt;0,1,0)+IF(COUNTIFS('Input_Template'!$B$2:$B$226,A7,'Input_Template'!$E$2:$E$226,E7)&gt;0,1,0)+IF(COUNTIFS('Input_Template'!$B$2:$B$226,A7,'Input_Template'!$E$2:$E$226,F7)&gt;0,1,0)+IF(COUNTIFS('Input_Template'!$B$2:$B$226,A7,'Input_Template'!$E$2:$E$226,G7)&gt;0,1,0)</x:f>
        <x:v>5</x:v>
      </x:c>
      <x:c r="C7" s="104" t="str">
        <x:v>BAC2001</x:v>
      </x:c>
      <x:c r="D7" s="104" t="str">
        <x:v>BAC2002</x:v>
      </x:c>
      <x:c r="E7" s="104" t="str">
        <x:v>BAC2005</x:v>
      </x:c>
      <x:c r="F7" s="104" t="str">
        <x:v>BAC3003A</x:v>
      </x:c>
      <x:c r="G7" s="104" t="str">
        <x:v>BAC3004</x:v>
      </x:c>
      <x:c r="H7" s="104" t="n">
        <x:f>COUNTIF('Input_Template'!$B$2:$B$226,A7)</x:f>
        <x:v>11</x:v>
      </x:c>
      <x:c r="I7" s="104" t="str">
        <x:f>IF(B7&gt;=5,"PASS","REVIEW")</x:f>
        <x:v>PASS</x:v>
      </x:c>
    </x:row>
    <x:row r="8" ht="22" customHeight="1">
      <x:c r="A8" s="174" t="str">
        <x:v>CDM</x:v>
      </x:c>
      <x:c r="B8" s="53" t="n">
        <x:f>IF(COUNTIFS('Input_Template'!$B$2:$B$226,A8,'Input_Template'!$E$2:$E$226,C8)&gt;0,1,0)+IF(COUNTIFS('Input_Template'!$B$2:$B$226,A8,'Input_Template'!$E$2:$E$226,D8)&gt;0,1,0)+IF(COUNTIFS('Input_Template'!$B$2:$B$226,A8,'Input_Template'!$E$2:$E$226,E8)&gt;0,1,0)+IF(COUNTIFS('Input_Template'!$B$2:$B$226,A8,'Input_Template'!$E$2:$E$226,F8)&gt;0,1,0)+IF(COUNTIFS('Input_Template'!$B$2:$B$226,A8,'Input_Template'!$E$2:$E$226,G8)&gt;0,1,0)</x:f>
        <x:v>5</x:v>
      </x:c>
      <x:c r="C8" s="53" t="str">
        <x:v>DCM1011</x:v>
      </x:c>
      <x:c r="D8" s="53" t="str">
        <x:v>DCM1021</x:v>
      </x:c>
      <x:c r="E8" s="53" t="str">
        <x:v>DCM1032</x:v>
      </x:c>
      <x:c r="F8" s="53" t="str">
        <x:v>DCM1033</x:v>
      </x:c>
      <x:c r="G8" s="53" t="str">
        <x:v>DCM2001</x:v>
      </x:c>
      <x:c r="H8" s="53" t="n">
        <x:f>COUNTIF('Input_Template'!$B$2:$B$226,A8)</x:f>
        <x:v>11</x:v>
      </x:c>
      <x:c r="I8" s="53" t="str">
        <x:f>IF(B8&gt;=5,"PASS","REVIEW")</x:f>
        <x:v>PASS</x:v>
      </x:c>
    </x:row>
    <x:row r="9" ht="22" customHeight="1">
      <x:c r="A9" s="170" t="str">
        <x:v>CEG</x:v>
      </x:c>
      <x:c r="B9" s="47" t="n">
        <x:f>IF(COUNTIFS('Input_Template'!$B$2:$B$226,A9,'Input_Template'!$E$2:$E$226,C9)&gt;0,1,0)+IF(COUNTIFS('Input_Template'!$B$2:$B$226,A9,'Input_Template'!$E$2:$E$226,D9)&gt;0,1,0)+IF(COUNTIFS('Input_Template'!$B$2:$B$226,A9,'Input_Template'!$E$2:$E$226,E9)&gt;0,1,0)+IF(COUNTIFS('Input_Template'!$B$2:$B$226,A9,'Input_Template'!$E$2:$E$226,F9)&gt;0,1,0)+IF(COUNTIFS('Input_Template'!$B$2:$B$226,A9,'Input_Template'!$E$2:$E$226,G9)&gt;0,1,0)</x:f>
        <x:v>5</x:v>
      </x:c>
      <x:c r="C9" s="47" t="str">
        <x:v>CEG1007</x:v>
      </x:c>
      <x:c r="D9" s="47" t="str">
        <x:v>CEG1009</x:v>
      </x:c>
      <x:c r="E9" s="47" t="str">
        <x:v>CEG2005</x:v>
      </x:c>
      <x:c r="F9" s="47" t="str">
        <x:v>CEG2006</x:v>
      </x:c>
      <x:c r="G9" s="47" t="str">
        <x:v>CEG2009</x:v>
      </x:c>
      <x:c r="H9" s="47" t="n">
        <x:f>COUNTIF('Input_Template'!$B$2:$B$226,A9)</x:f>
        <x:v>11</x:v>
      </x:c>
      <x:c r="I9" s="47" t="str">
        <x:f>IF(B9&gt;=5,"PASS","REVIEW")</x:f>
        <x:v>PASS</x:v>
      </x:c>
    </x:row>
    <x:row r="10" ht="22" customHeight="1">
      <x:c r="A10" s="171" t="str">
        <x:v>CVE</x:v>
      </x:c>
      <x:c r="B10" s="50" t="n">
        <x:f>IF(COUNTIFS('Input_Template'!$B$2:$B$226,A10,'Input_Template'!$E$2:$E$226,C10)&gt;0,1,0)+IF(COUNTIFS('Input_Template'!$B$2:$B$226,A10,'Input_Template'!$E$2:$E$226,D10)&gt;0,1,0)+IF(COUNTIFS('Input_Template'!$B$2:$B$226,A10,'Input_Template'!$E$2:$E$226,E10)&gt;0,1,0)+IF(COUNTIFS('Input_Template'!$B$2:$B$226,A10,'Input_Template'!$E$2:$E$226,F10)&gt;0,1,0)+IF(COUNTIFS('Input_Template'!$B$2:$B$226,A10,'Input_Template'!$E$2:$E$226,G10)&gt;0,1,0)</x:f>
        <x:v>5</x:v>
      </x:c>
      <x:c r="C10" s="50" t="str">
        <x:v>CVE1222</x:v>
      </x:c>
      <x:c r="D10" s="50" t="str">
        <x:v>CVE1242</x:v>
      </x:c>
      <x:c r="E10" s="50" t="str">
        <x:v>CVE1261</x:v>
      </x:c>
      <x:c r="F10" s="50" t="str">
        <x:v>CVE3221</x:v>
      </x:c>
      <x:c r="G10" s="50" t="str">
        <x:v>CVE3222</x:v>
      </x:c>
      <x:c r="H10" s="50" t="n">
        <x:f>COUNTIF('Input_Template'!$B$2:$B$226,A10)</x:f>
        <x:v>11</x:v>
      </x:c>
      <x:c r="I10" s="50" t="str">
        <x:f>IF(B10&gt;=5,"PASS","REVIEW")</x:f>
        <x:v>PASS</x:v>
      </x:c>
    </x:row>
    <x:row r="11" ht="22" customHeight="1">
      <x:c r="A11" s="172" t="str">
        <x:v>DSC</x:v>
      </x:c>
      <x:c r="B11" s="27" t="n">
        <x:f>IF(COUNTIFS('Input_Template'!$B$2:$B$226,A11,'Input_Template'!$E$2:$E$226,C11)&gt;0,1,0)+IF(COUNTIFS('Input_Template'!$B$2:$B$226,A11,'Input_Template'!$E$2:$E$226,D11)&gt;0,1,0)+IF(COUNTIFS('Input_Template'!$B$2:$B$226,A11,'Input_Template'!$E$2:$E$226,E11)&gt;0,1,0)+IF(COUNTIFS('Input_Template'!$B$2:$B$226,A11,'Input_Template'!$E$2:$E$226,F11)&gt;0,1,0)+IF(COUNTIFS('Input_Template'!$B$2:$B$226,A11,'Input_Template'!$E$2:$E$226,G11)&gt;0,1,0)</x:f>
        <x:v>5</x:v>
      </x:c>
      <x:c r="C11" s="27" t="str">
        <x:v>DSC2203</x:v>
      </x:c>
      <x:c r="D11" s="27" t="str">
        <x:v>DSC3201</x:v>
      </x:c>
      <x:c r="E11" s="27" t="str">
        <x:v>DSC3202</x:v>
      </x:c>
      <x:c r="F11" s="27" t="str">
        <x:v>DSC3302</x:v>
      </x:c>
      <x:c r="G11" s="27" t="str">
        <x:v>DSC3303</x:v>
      </x:c>
      <x:c r="H11" s="27" t="n">
        <x:f>COUNTIF('Input_Template'!$B$2:$B$226,A11)</x:f>
        <x:v>11</x:v>
      </x:c>
      <x:c r="I11" s="27" t="str">
        <x:f>IF(B11&gt;=5,"PASS","REVIEW")</x:f>
        <x:v>PASS</x:v>
      </x:c>
    </x:row>
    <x:row r="12" ht="22" customHeight="1">
      <x:c r="A12" s="173" t="str">
        <x:v>EDE</x:v>
      </x:c>
      <x:c r="B12" s="104" t="n">
        <x:f>IF(COUNTIFS('Input_Template'!$B$2:$B$226,A12,'Input_Template'!$E$2:$E$226,C12)&gt;0,1,0)+IF(COUNTIFS('Input_Template'!$B$2:$B$226,A12,'Input_Template'!$E$2:$E$226,D12)&gt;0,1,0)+IF(COUNTIFS('Input_Template'!$B$2:$B$226,A12,'Input_Template'!$E$2:$E$226,E12)&gt;0,1,0)+IF(COUNTIFS('Input_Template'!$B$2:$B$226,A12,'Input_Template'!$E$2:$E$226,F12)&gt;0,1,0)+IF(COUNTIFS('Input_Template'!$B$2:$B$226,A12,'Input_Template'!$E$2:$E$226,G12)&gt;0,1,0)</x:f>
        <x:v>5</x:v>
      </x:c>
      <x:c r="C12" s="104" t="str">
        <x:v>EDE1021</x:v>
      </x:c>
      <x:c r="D12" s="104" t="str">
        <x:v>EDE1022</x:v>
      </x:c>
      <x:c r="E12" s="104" t="str">
        <x:v>EDE1023</x:v>
      </x:c>
      <x:c r="F12" s="104" t="str">
        <x:v>EDE1024</x:v>
      </x:c>
      <x:c r="G12" s="104" t="str">
        <x:v>EDE2021</x:v>
      </x:c>
      <x:c r="H12" s="104" t="n">
        <x:f>COUNTIF('Input_Template'!$B$2:$B$226,A12)</x:f>
        <x:v>11</x:v>
      </x:c>
      <x:c r="I12" s="104" t="str">
        <x:f>IF(B12&gt;=5,"PASS","REVIEW")</x:f>
        <x:v>PASS</x:v>
      </x:c>
    </x:row>
    <x:row r="13" ht="22" customHeight="1">
      <x:c r="A13" s="174" t="str">
        <x:v>EPE</x:v>
      </x:c>
      <x:c r="B13" s="53" t="n">
        <x:f>IF(COUNTIFS('Input_Template'!$B$2:$B$226,A13,'Input_Template'!$E$2:$E$226,C13)&gt;0,1,0)+IF(COUNTIFS('Input_Template'!$B$2:$B$226,A13,'Input_Template'!$E$2:$E$226,D13)&gt;0,1,0)+IF(COUNTIFS('Input_Template'!$B$2:$B$226,A13,'Input_Template'!$E$2:$E$226,E13)&gt;0,1,0)+IF(COUNTIFS('Input_Template'!$B$2:$B$226,A13,'Input_Template'!$E$2:$E$226,F13)&gt;0,1,0)+IF(COUNTIFS('Input_Template'!$B$2:$B$226,A13,'Input_Template'!$E$2:$E$226,G13)&gt;0,1,0)</x:f>
        <x:v>5</x:v>
      </x:c>
      <x:c r="C13" s="53" t="str">
        <x:v>EPE1301</x:v>
      </x:c>
      <x:c r="D13" s="53" t="str">
        <x:v>EPE1302</x:v>
      </x:c>
      <x:c r="E13" s="53" t="str">
        <x:v>EPE1303</x:v>
      </x:c>
      <x:c r="F13" s="53" t="str">
        <x:v>EPE3301</x:v>
      </x:c>
      <x:c r="G13" s="53" t="str">
        <x:v>EPE3303A</x:v>
      </x:c>
      <x:c r="H13" s="53" t="n">
        <x:f>COUNTIF('Input_Template'!$B$2:$B$226,A13)</x:f>
        <x:v>11</x:v>
      </x:c>
      <x:c r="I13" s="53" t="str">
        <x:f>IF(B13&gt;=5,"PASS","REVIEW")</x:f>
        <x:v>PASS</x:v>
      </x:c>
    </x:row>
    <x:row r="14" ht="22" customHeight="1">
      <x:c r="A14" s="170" t="str">
        <x:v>ESE</x:v>
      </x:c>
      <x:c r="B14" s="47" t="n">
        <x:f>IF(COUNTIFS('Input_Template'!$B$2:$B$226,A14,'Input_Template'!$E$2:$E$226,C14)&gt;0,1,0)+IF(COUNTIFS('Input_Template'!$B$2:$B$226,A14,'Input_Template'!$E$2:$E$226,D14)&gt;0,1,0)+IF(COUNTIFS('Input_Template'!$B$2:$B$226,A14,'Input_Template'!$E$2:$E$226,E14)&gt;0,1,0)+IF(COUNTIFS('Input_Template'!$B$2:$B$226,A14,'Input_Template'!$E$2:$E$226,F14)&gt;0,1,0)+IF(COUNTIFS('Input_Template'!$B$2:$B$226,A14,'Input_Template'!$E$2:$E$226,G14)&gt;0,1,0)</x:f>
        <x:v>5</x:v>
      </x:c>
      <x:c r="C14" s="47" t="str">
        <x:v>ESE1101</x:v>
      </x:c>
      <x:c r="D14" s="47" t="str">
        <x:v>ESE1109</x:v>
      </x:c>
      <x:c r="E14" s="47" t="str">
        <x:v>ESE2103</x:v>
      </x:c>
      <x:c r="F14" s="47" t="str">
        <x:v>ESE3103</x:v>
      </x:c>
      <x:c r="G14" s="47" t="str">
        <x:v>ESE3104</x:v>
      </x:c>
      <x:c r="H14" s="47" t="n">
        <x:f>COUNTIF('Input_Template'!$B$2:$B$226,A14)</x:f>
        <x:v>13</x:v>
      </x:c>
      <x:c r="I14" s="47" t="str">
        <x:f>IF(B14&gt;=5,"PASS","REVIEW")</x:f>
        <x:v>PASS</x:v>
      </x:c>
    </x:row>
    <x:row r="15" ht="22" customHeight="1">
      <x:c r="A15" s="171" t="str">
        <x:v>FDT</x:v>
      </x:c>
      <x:c r="B15" s="50" t="n">
        <x:f>IF(COUNTIFS('Input_Template'!$B$2:$B$226,A15,'Input_Template'!$E$2:$E$226,C15)&gt;0,1,0)+IF(COUNTIFS('Input_Template'!$B$2:$B$226,A15,'Input_Template'!$E$2:$E$226,D15)&gt;0,1,0)+IF(COUNTIFS('Input_Template'!$B$2:$B$226,A15,'Input_Template'!$E$2:$E$226,E15)&gt;0,1,0)+IF(COUNTIFS('Input_Template'!$B$2:$B$226,A15,'Input_Template'!$E$2:$E$226,F15)&gt;0,1,0)+IF(COUNTIFS('Input_Template'!$B$2:$B$226,A15,'Input_Template'!$E$2:$E$226,G15)&gt;0,1,0)</x:f>
        <x:v>5</x:v>
      </x:c>
      <x:c r="C15" s="50" t="str">
        <x:v>FDT1012</x:v>
      </x:c>
      <x:c r="D15" s="50" t="str">
        <x:v>FDT1013</x:v>
      </x:c>
      <x:c r="E15" s="50" t="str">
        <x:v>FDT1021</x:v>
      </x:c>
      <x:c r="F15" s="50" t="str">
        <x:v>FDT2011</x:v>
      </x:c>
      <x:c r="G15" s="50" t="str">
        <x:v>FDT2013</x:v>
      </x:c>
      <x:c r="H15" s="50" t="n">
        <x:f>COUNTIF('Input_Template'!$B$2:$B$226,A15)</x:f>
        <x:v>11</x:v>
      </x:c>
      <x:c r="I15" s="50" t="str">
        <x:f>IF(B15&gt;=5,"PASS","REVIEW")</x:f>
        <x:v>PASS</x:v>
      </x:c>
    </x:row>
    <x:row r="16" ht="22" customHeight="1">
      <x:c r="A16" s="172" t="str">
        <x:v>ICT</x:v>
      </x:c>
      <x:c r="B16" s="27" t="n">
        <x:f>IF(COUNTIFS('Input_Template'!$B$2:$B$226,A16,'Input_Template'!$E$2:$E$226,C16)&gt;0,1,0)+IF(COUNTIFS('Input_Template'!$B$2:$B$226,A16,'Input_Template'!$E$2:$E$226,D16)&gt;0,1,0)+IF(COUNTIFS('Input_Template'!$B$2:$B$226,A16,'Input_Template'!$E$2:$E$226,E16)&gt;0,1,0)+IF(COUNTIFS('Input_Template'!$B$2:$B$226,A16,'Input_Template'!$E$2:$E$226,F16)&gt;0,1,0)+IF(COUNTIFS('Input_Template'!$B$2:$B$226,A16,'Input_Template'!$E$2:$E$226,G16)&gt;0,1,0)</x:f>
        <x:v>5</x:v>
      </x:c>
      <x:c r="C16" s="27" t="str">
        <x:v>ICT1012</x:v>
      </x:c>
      <x:c r="D16" s="27" t="str">
        <x:v>ICT1013</x:v>
      </x:c>
      <x:c r="E16" s="27" t="str">
        <x:v>ICT2112</x:v>
      </x:c>
      <x:c r="F16" s="27" t="str">
        <x:v>ICT2113</x:v>
      </x:c>
      <x:c r="G16" s="27" t="str">
        <x:v>ICT2114</x:v>
      </x:c>
      <x:c r="H16" s="27" t="n">
        <x:f>COUNTIF('Input_Template'!$B$2:$B$226,A16)</x:f>
        <x:v>11</x:v>
      </x:c>
      <x:c r="I16" s="27" t="str">
        <x:f>IF(B16&gt;=5,"PASS","REVIEW")</x:f>
        <x:v>PASS</x:v>
      </x:c>
    </x:row>
    <x:row r="17" ht="22" customHeight="1">
      <x:c r="A17" s="173" t="str">
        <x:v>MDME</x:v>
      </x:c>
      <x:c r="B17" s="104" t="n">
        <x:f>IF(COUNTIFS('Input_Template'!$B$2:$B$226,A17,'Input_Template'!$E$2:$E$226,C17)&gt;0,1,0)+IF(COUNTIFS('Input_Template'!$B$2:$B$226,A17,'Input_Template'!$E$2:$E$226,D17)&gt;0,1,0)+IF(COUNTIFS('Input_Template'!$B$2:$B$226,A17,'Input_Template'!$E$2:$E$226,E17)&gt;0,1,0)+IF(COUNTIFS('Input_Template'!$B$2:$B$226,A17,'Input_Template'!$E$2:$E$226,F17)&gt;0,1,0)+IF(COUNTIFS('Input_Template'!$B$2:$B$226,A17,'Input_Template'!$E$2:$E$226,G17)&gt;0,1,0)</x:f>
        <x:v>5</x:v>
      </x:c>
      <x:c r="C17" s="104" t="str">
        <x:v>MME1222</x:v>
      </x:c>
      <x:c r="D17" s="104" t="str">
        <x:v>MME1262</x:v>
      </x:c>
      <x:c r="E17" s="104" t="str">
        <x:v>MME1271</x:v>
      </x:c>
      <x:c r="F17" s="104" t="str">
        <x:v>MME3201A</x:v>
      </x:c>
      <x:c r="G17" s="104" t="str">
        <x:v>MME3291</x:v>
      </x:c>
      <x:c r="H17" s="104" t="n">
        <x:f>COUNTIF('Input_Template'!$B$2:$B$226,A17)</x:f>
        <x:v>11</x:v>
      </x:c>
      <x:c r="I17" s="104" t="str">
        <x:f>IF(B17&gt;=5,"PASS","REVIEW")</x:f>
        <x:v>PASS</x:v>
      </x:c>
    </x:row>
    <x:row r="18" ht="22" customHeight="1">
      <x:c r="A18" s="174" t="str">
        <x:v>MEC</x:v>
      </x:c>
      <x:c r="B18" s="53" t="n">
        <x:f>IF(COUNTIFS('Input_Template'!$B$2:$B$226,A18,'Input_Template'!$E$2:$E$226,C18)&gt;0,1,0)+IF(COUNTIFS('Input_Template'!$B$2:$B$226,A18,'Input_Template'!$E$2:$E$226,D18)&gt;0,1,0)+IF(COUNTIFS('Input_Template'!$B$2:$B$226,A18,'Input_Template'!$E$2:$E$226,E18)&gt;0,1,0)+IF(COUNTIFS('Input_Template'!$B$2:$B$226,A18,'Input_Template'!$E$2:$E$226,F18)&gt;0,1,0)+IF(COUNTIFS('Input_Template'!$B$2:$B$226,A18,'Input_Template'!$E$2:$E$226,G18)&gt;0,1,0)</x:f>
        <x:v>5</x:v>
      </x:c>
      <x:c r="C18" s="53" t="str">
        <x:v>MEC1223</x:v>
      </x:c>
      <x:c r="D18" s="53" t="str">
        <x:v>MEC1241</x:v>
      </x:c>
      <x:c r="E18" s="53" t="str">
        <x:v>MEC2261</x:v>
      </x:c>
      <x:c r="F18" s="53" t="str">
        <x:v>MEC2282</x:v>
      </x:c>
      <x:c r="G18" s="53" t="str">
        <x:v>MEC3271</x:v>
      </x:c>
      <x:c r="H18" s="53" t="n">
        <x:f>COUNTIF('Input_Template'!$B$2:$B$226,A18)</x:f>
        <x:v>11</x:v>
      </x:c>
      <x:c r="I18" s="53" t="str">
        <x:f>IF(B18&gt;=5,"PASS","REVIEW")</x:f>
        <x:v>PASS</x:v>
      </x:c>
    </x:row>
    <x:row r="19" ht="22" customHeight="1">
      <x:c r="A19" s="170" t="str">
        <x:v>NAME</x:v>
      </x:c>
      <x:c r="B19" s="47" t="n">
        <x:f>IF(COUNTIFS('Input_Template'!$B$2:$B$226,A19,'Input_Template'!$E$2:$E$226,C19)&gt;0,1,0)+IF(COUNTIFS('Input_Template'!$B$2:$B$226,A19,'Input_Template'!$E$2:$E$226,D19)&gt;0,1,0)+IF(COUNTIFS('Input_Template'!$B$2:$B$226,A19,'Input_Template'!$E$2:$E$226,E19)&gt;0,1,0)+IF(COUNTIFS('Input_Template'!$B$2:$B$226,A19,'Input_Template'!$E$2:$E$226,F19)&gt;0,1,0)+IF(COUNTIFS('Input_Template'!$B$2:$B$226,A19,'Input_Template'!$E$2:$E$226,G19)&gt;0,1,0)</x:f>
        <x:v>5</x:v>
      </x:c>
      <x:c r="C19" s="47" t="str">
        <x:v>NME1106</x:v>
      </x:c>
      <x:c r="D19" s="47" t="str">
        <x:v>NME1108</x:v>
      </x:c>
      <x:c r="E19" s="47" t="str">
        <x:v>NME1109</x:v>
      </x:c>
      <x:c r="F19" s="47" t="str">
        <x:v>NME2104</x:v>
      </x:c>
      <x:c r="G19" s="47" t="str">
        <x:v>NME2106</x:v>
      </x:c>
      <x:c r="H19" s="47" t="n">
        <x:f>COUNTIF('Input_Template'!$B$2:$B$226,A19)</x:f>
        <x:v>11</x:v>
      </x:c>
      <x:c r="I19" s="47" t="str">
        <x:f>IF(B19&gt;=5,"PASS","REVIEW")</x:f>
        <x:v>PASS</x:v>
      </x:c>
    </x:row>
    <x:row r="20" ht="22" customHeight="1">
      <x:c r="A20" s="171" t="str">
        <x:v>RSE</x:v>
      </x:c>
      <x:c r="B20" s="50" t="n">
        <x:f>IF(COUNTIFS('Input_Template'!$B$2:$B$226,A20,'Input_Template'!$E$2:$E$226,C20)&gt;0,1,0)+IF(COUNTIFS('Input_Template'!$B$2:$B$226,A20,'Input_Template'!$E$2:$E$226,D20)&gt;0,1,0)+IF(COUNTIFS('Input_Template'!$B$2:$B$226,A20,'Input_Template'!$E$2:$E$226,E20)&gt;0,1,0)+IF(COUNTIFS('Input_Template'!$B$2:$B$226,A20,'Input_Template'!$E$2:$E$226,F20)&gt;0,1,0)+IF(COUNTIFS('Input_Template'!$B$2:$B$226,A20,'Input_Template'!$E$2:$E$226,G20)&gt;0,1,0)</x:f>
        <x:v>5</x:v>
      </x:c>
      <x:c r="C20" s="50" t="str">
        <x:v>RSE1102</x:v>
      </x:c>
      <x:c r="D20" s="50" t="str">
        <x:v>RSE1202</x:v>
      </x:c>
      <x:c r="E20" s="50" t="str">
        <x:v>RSE1801</x:v>
      </x:c>
      <x:c r="F20" s="50" t="str">
        <x:v>RSE3601A</x:v>
      </x:c>
      <x:c r="G20" s="50" t="str">
        <x:v>RSE3601B</x:v>
      </x:c>
      <x:c r="H20" s="50" t="n">
        <x:f>COUNTIF('Input_Template'!$B$2:$B$226,A20)</x:f>
        <x:v>11</x:v>
      </x:c>
      <x:c r="I20" s="50" t="str">
        <x:f>IF(B20&gt;=5,"PASS","REVIEW")</x:f>
        <x:v>PASS</x:v>
      </x:c>
    </x:row>
    <x:row r="21" ht="22" customHeight="1">
      <x:c r="A21" s="172" t="str">
        <x:v>SBE</x:v>
      </x:c>
      <x:c r="B21" s="27" t="n">
        <x:f>IF(COUNTIFS('Input_Template'!$B$2:$B$226,A21,'Input_Template'!$E$2:$E$226,C21)&gt;0,1,0)+IF(COUNTIFS('Input_Template'!$B$2:$B$226,A21,'Input_Template'!$E$2:$E$226,D21)&gt;0,1,0)+IF(COUNTIFS('Input_Template'!$B$2:$B$226,A21,'Input_Template'!$E$2:$E$226,E21)&gt;0,1,0)+IF(COUNTIFS('Input_Template'!$B$2:$B$226,A21,'Input_Template'!$E$2:$E$226,F21)&gt;0,1,0)+IF(COUNTIFS('Input_Template'!$B$2:$B$226,A21,'Input_Template'!$E$2:$E$226,G21)&gt;0,1,0)</x:f>
        <x:v>5</x:v>
      </x:c>
      <x:c r="C21" s="27" t="str">
        <x:v>SBE1101</x:v>
      </x:c>
      <x:c r="D21" s="27" t="str">
        <x:v>SBE3113A</x:v>
      </x:c>
      <x:c r="E21" s="27" t="str">
        <x:v>SBE3124</x:v>
      </x:c>
      <x:c r="F21" s="27" t="str">
        <x:v>SBE3131</x:v>
      </x:c>
      <x:c r="G21" s="27" t="str">
        <x:v>SBE3132</x:v>
      </x:c>
      <x:c r="H21" s="27" t="n">
        <x:f>COUNTIF('Input_Template'!$B$2:$B$226,A21)</x:f>
        <x:v>14</x:v>
      </x:c>
      <x:c r="I21" s="27" t="str">
        <x:f>IF(B21&gt;=5,"PASS","REVIEW")</x:f>
        <x:v>PASS</x:v>
      </x:c>
    </x:row>
    <x:row r="22" ht="22" customHeight="1">
      <x:c r="A22" s="173" t="str">
        <x:v>SLT</x:v>
      </x:c>
      <x:c r="B22" s="104" t="n">
        <x:f>IF(COUNTIFS('Input_Template'!$B$2:$B$226,A22,'Input_Template'!$E$2:$E$226,C22)&gt;0,1,0)+IF(COUNTIFS('Input_Template'!$B$2:$B$226,A22,'Input_Template'!$E$2:$E$226,D22)&gt;0,1,0)+IF(COUNTIFS('Input_Template'!$B$2:$B$226,A22,'Input_Template'!$E$2:$E$226,E22)&gt;0,1,0)+IF(COUNTIFS('Input_Template'!$B$2:$B$226,A22,'Input_Template'!$E$2:$E$226,F22)&gt;0,1,0)+IF(COUNTIFS('Input_Template'!$B$2:$B$226,A22,'Input_Template'!$E$2:$E$226,G22)&gt;0,1,0)</x:f>
        <x:v>5</x:v>
      </x:c>
      <x:c r="C22" s="104" t="str">
        <x:v>SLT1203</x:v>
      </x:c>
      <x:c r="D22" s="104" t="str">
        <x:v>SLT1204</x:v>
      </x:c>
      <x:c r="E22" s="104" t="str">
        <x:v>SLT2203</x:v>
      </x:c>
      <x:c r="F22" s="104" t="str">
        <x:v>SLT2204</x:v>
      </x:c>
      <x:c r="G22" s="104" t="str">
        <x:v>SLT3202</x:v>
      </x:c>
      <x:c r="H22" s="104" t="n">
        <x:f>COUNTIF('Input_Template'!$B$2:$B$226,A22)</x:f>
        <x:v>11</x:v>
      </x:c>
      <x:c r="I22" s="104" t="str">
        <x:f>IF(B22&gt;=5,"PASS","REVIEW")</x:f>
        <x:v>PASS</x:v>
      </x:c>
    </x:row>
    <x:row r="23" ht="22" customHeight="1">
      <x:c r="A23" s="174" t="str">
        <x:v>TCE</x:v>
      </x:c>
      <x:c r="B23" s="53" t="n">
        <x:f>IF(COUNTIFS('Input_Template'!$B$2:$B$226,A23,'Input_Template'!$E$2:$E$226,C23)&gt;0,1,0)+IF(COUNTIFS('Input_Template'!$B$2:$B$226,A23,'Input_Template'!$E$2:$E$226,D23)&gt;0,1,0)+IF(COUNTIFS('Input_Template'!$B$2:$B$226,A23,'Input_Template'!$E$2:$E$226,E23)&gt;0,1,0)+IF(COUNTIFS('Input_Template'!$B$2:$B$226,A23,'Input_Template'!$E$2:$E$226,F23)&gt;0,1,0)+IF(COUNTIFS('Input_Template'!$B$2:$B$226,A23,'Input_Template'!$E$2:$E$226,G23)&gt;0,1,0)</x:f>
        <x:v>5</x:v>
      </x:c>
      <x:c r="C23" s="53" t="str">
        <x:v>TCE1043</x:v>
      </x:c>
      <x:c r="D23" s="53" t="str">
        <x:v>TCE1048</x:v>
      </x:c>
      <x:c r="E23" s="53" t="str">
        <x:v>TCE1049</x:v>
      </x:c>
      <x:c r="F23" s="53" t="str">
        <x:v>TCE2025</x:v>
      </x:c>
      <x:c r="G23" s="53" t="str">
        <x:v>TCE2040</x:v>
      </x:c>
      <x:c r="H23" s="53" t="n">
        <x:f>COUNTIF('Input_Template'!$B$2:$B$226,A23)</x:f>
        <x:v>11</x:v>
      </x:c>
      <x:c r="I23" s="53" t="str">
        <x:f>IF(B23&gt;=5,"PASS","REVIEW")</x:f>
        <x:v>PASS</x:v>
      </x:c>
    </x:row>
  </x:sheetData>
  <x:mergeCells>
    <x:mergeCell ref="A1:I1"/>
  </x:mergeCells>
  <x:conditionalFormatting sqref="I4:I23">
    <x:cfRule type="containsText" dxfId="0" priority="1" operator="containsText" text="PASS"/>
    <x:cfRule type="containsText" dxfId="1" priority="2" operator="containsText" text="REVIEW"/>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8" hidden="0" customWidth="1"/>
    <x:col min="3" max="3" width="20" hidden="0" customWidth="1"/>
    <x:col min="4" max="4" width="16" hidden="0" customWidth="1"/>
    <x:col min="5" max="5" width="15" hidden="0" customWidth="1"/>
    <x:col min="6" max="6" width="21" hidden="0" customWidth="1"/>
    <x:col min="7" max="7" width="13" hidden="0" customWidth="1"/>
    <x:col min="8" max="8" width="24" hidden="0" customWidth="1"/>
    <x:col min="9" max="9" width="52" hidden="0" customWidth="1"/>
    <x:col min="10" max="10" width="18" hidden="0" customWidth="1"/>
    <x:col min="11" max="11" width="14" hidden="0" customWidth="1"/>
    <x:col min="12" max="12" width="17" hidden="0" customWidth="1"/>
    <x:col min="13" max="13" width="16" hidden="0" customWidth="1"/>
    <x:col min="14" max="14" width="15" hidden="0" customWidth="1"/>
  </x:cols>
  <x:sheetData>
    <x:row r="1" ht="32" customHeight="1">
      <x:c r="A1" s="177" t="str">
        <x:v>Admin and Historical Source Audit</x:v>
      </x:c>
      <x:c r="B1" s="177"/>
      <x:c r="C1" s="177"/>
      <x:c r="D1" s="177"/>
      <x:c r="E1" s="177"/>
      <x:c r="F1" s="177"/>
      <x:c r="G1" s="177"/>
      <x:c r="H1" s="177"/>
      <x:c r="I1" s="177"/>
      <x:c r="J1" s="177"/>
      <x:c r="K1" s="177"/>
      <x:c r="L1" s="177"/>
      <x:c r="M1" s="177"/>
      <x:c r="N1" s="177"/>
    </x:row>
    <x:row r="3" ht="34" customHeight="1">
      <x:c r="A3" s="169" t="str">
        <x:v>Programme</x:v>
      </x:c>
      <x:c r="B3" s="169" t="str">
        <x:v>Year</x:v>
      </x:c>
      <x:c r="C3" s="169" t="str">
        <x:v>Admin Student Group</x:v>
      </x:c>
      <x:c r="D3" s="169" t="str">
        <x:v>Admin Group Size</x:v>
      </x:c>
      <x:c r="E3" s="169" t="str">
        <x:v>Module Code</x:v>
      </x:c>
      <x:c r="F3" s="169" t="str">
        <x:v>Module Title</x:v>
      </x:c>
      <x:c r="G3" s="169" t="str">
        <x:v>Activity Rows</x:v>
      </x:c>
      <x:c r="H3" s="169" t="str">
        <x:v>Historical Basis</x:v>
      </x:c>
      <x:c r="I3" s="169" t="str">
        <x:v>Historical Source(s)</x:v>
      </x:c>
      <x:c r="J3" s="169" t="str">
        <x:v>Online Delivery Rows</x:v>
      </x:c>
      <x:c r="K3" s="169" t="str">
        <x:v>Lab Class Rows</x:v>
      </x:c>
      <x:c r="L3" s="169" t="str">
        <x:v>Output Class Size</x:v>
      </x:c>
      <x:c r="M3" s="169" t="str">
        <x:v>Admin Alignment</x:v>
      </x:c>
      <x:c r="N3" s="169" t="str">
        <x:v>Labs Included?</x:v>
      </x:c>
    </x:row>
    <x:row r="4" ht="22" customHeight="1">
      <x:c r="A4" s="165" t="str">
        <x:v>ACC</x:v>
      </x:c>
      <x:c r="B4" s="165" t="n">
        <x:v>1</x:v>
      </x:c>
      <x:c r="C4" s="165" t="str">
        <x:v>ACC Y1 P1</x:v>
      </x:c>
      <x:c r="D4" s="165" t="n">
        <x:v>40</x:v>
      </x:c>
      <x:c r="E4" s="88" t="str">
        <x:v>ACC1023</x:v>
      </x:c>
      <x:c r="F4" s="165" t="str">
        <x:v>ACC1023</x:v>
      </x:c>
      <x:c r="G4" s="165" t="n">
        <x:f>COUNTIFS('Input_Template'!$B$2:$B$226,A4,'Input_Template'!$E$2:$E$226,E4)</x:f>
        <x:v>2</x:v>
      </x:c>
      <x:c r="H4" s="178" t="str">
        <x:v>General ENG pattern adapted</x:v>
      </x:c>
      <x:c r="I4" s="178" t="str">
        <x:v>Requirements Template_ENG.xlsx + current admin module database</x:v>
      </x:c>
      <x:c r="J4" s="165" t="n">
        <x:f>COUNTIFS('Input_Template'!$B$2:$B$226,A4,'Input_Template'!$E$2:$E$226,E4,'Input_Template'!$K$2:$K$226,"Online")+COUNTIFS('Input_Template'!$B$2:$B$226,A4,'Input_Template'!$E$2:$E$226,E4,'Input_Template'!$K$2:$K$226,"Asynchronous")</x:f>
        <x:v>1</x:v>
      </x:c>
      <x:c r="K4" s="165" t="n">
        <x:f>COUNTIFS('Input_Template'!$B$2:$B$226,A4,'Input_Template'!$E$2:$E$226,E4,'Input_Template'!$G$2:$G$226,"*lab*")</x:f>
        <x:v>0</x:v>
      </x:c>
      <x:c r="L4" s="165" t="n">
        <x:f>IF(G4=0,0,SUMIFS('Input_Template'!$N$2:$N$226,'Input_Template'!$B$2:$B$226,A4,'Input_Template'!$E$2:$E$226,E4)/G4)</x:f>
        <x:v>40</x:v>
      </x:c>
      <x:c r="M4" s="165" t="str">
        <x:f>IF(AND(G4&gt;=2,L4=D4),"PASS","REVIEW")</x:f>
        <x:v>PASS</x:v>
      </x:c>
      <x:c r="N4" s="165" t="str">
        <x:f>IF(K4=0,"No","REVIEW")</x:f>
        <x:v>No</x:v>
      </x:c>
    </x:row>
    <x:row r="5" ht="22" customHeight="1">
      <x:c r="A5" s="165" t="str">
        <x:v>ACC</x:v>
      </x:c>
      <x:c r="B5" s="165" t="n">
        <x:v>1</x:v>
      </x:c>
      <x:c r="C5" s="165" t="str">
        <x:v>ACC Y1 P1</x:v>
      </x:c>
      <x:c r="D5" s="165" t="n">
        <x:v>40</x:v>
      </x:c>
      <x:c r="E5" s="88" t="str">
        <x:v>ACC1024</x:v>
      </x:c>
      <x:c r="F5" s="165" t="str">
        <x:v>ACC1024</x:v>
      </x:c>
      <x:c r="G5" s="165" t="n">
        <x:f>COUNTIFS('Input_Template'!$B$2:$B$226,A5,'Input_Template'!$E$2:$E$226,E5)</x:f>
        <x:v>2</x:v>
      </x:c>
      <x:c r="H5" s="178" t="str">
        <x:v>General ENG pattern adapted</x:v>
      </x:c>
      <x:c r="I5" s="178" t="str">
        <x:v>Requirements Template_ENG.xlsx + current admin module database</x:v>
      </x:c>
      <x:c r="J5" s="165" t="n">
        <x:f>COUNTIFS('Input_Template'!$B$2:$B$226,A5,'Input_Template'!$E$2:$E$226,E5,'Input_Template'!$K$2:$K$226,"Online")+COUNTIFS('Input_Template'!$B$2:$B$226,A5,'Input_Template'!$E$2:$E$226,E5,'Input_Template'!$K$2:$K$226,"Asynchronous")</x:f>
        <x:v>0</x:v>
      </x:c>
      <x:c r="K5" s="165" t="n">
        <x:f>COUNTIFS('Input_Template'!$B$2:$B$226,A5,'Input_Template'!$E$2:$E$226,E5,'Input_Template'!$G$2:$G$226,"*lab*")</x:f>
        <x:v>0</x:v>
      </x:c>
      <x:c r="L5" s="165" t="n">
        <x:f>IF(G5=0,0,SUMIFS('Input_Template'!$N$2:$N$226,'Input_Template'!$B$2:$B$226,A5,'Input_Template'!$E$2:$E$226,E5)/G5)</x:f>
        <x:v>40</x:v>
      </x:c>
      <x:c r="M5" s="165" t="str">
        <x:f>IF(AND(G5&gt;=2,L5=D5),"PASS","REVIEW")</x:f>
        <x:v>PASS</x:v>
      </x:c>
      <x:c r="N5" s="165" t="str">
        <x:f>IF(K5=0,"No","REVIEW")</x:f>
        <x:v>No</x:v>
      </x:c>
    </x:row>
    <x:row r="6" ht="22" customHeight="1">
      <x:c r="A6" s="165" t="str">
        <x:v>ACC</x:v>
      </x:c>
      <x:c r="B6" s="165" t="n">
        <x:v>1</x:v>
      </x:c>
      <x:c r="C6" s="165" t="str">
        <x:v>ACC Y1 P1</x:v>
      </x:c>
      <x:c r="D6" s="165" t="n">
        <x:v>40</x:v>
      </x:c>
      <x:c r="E6" s="88" t="str">
        <x:v>ACC1025</x:v>
      </x:c>
      <x:c r="F6" s="165" t="str">
        <x:v>ACC1025</x:v>
      </x:c>
      <x:c r="G6" s="165" t="n">
        <x:f>COUNTIFS('Input_Template'!$B$2:$B$226,A6,'Input_Template'!$E$2:$E$226,E6)</x:f>
        <x:v>3</x:v>
      </x:c>
      <x:c r="H6" s="178" t="str">
        <x:v>General ENG pattern adapted</x:v>
      </x:c>
      <x:c r="I6" s="178" t="str">
        <x:v>Requirements Template_ENG.xlsx + current admin module database</x:v>
      </x:c>
      <x:c r="J6" s="165" t="n">
        <x:f>COUNTIFS('Input_Template'!$B$2:$B$226,A6,'Input_Template'!$E$2:$E$226,E6,'Input_Template'!$K$2:$K$226,"Online")+COUNTIFS('Input_Template'!$B$2:$B$226,A6,'Input_Template'!$E$2:$E$226,E6,'Input_Template'!$K$2:$K$226,"Asynchronous")</x:f>
        <x:v>0</x:v>
      </x:c>
      <x:c r="K6" s="165" t="n">
        <x:f>COUNTIFS('Input_Template'!$B$2:$B$226,A6,'Input_Template'!$E$2:$E$226,E6,'Input_Template'!$G$2:$G$226,"*lab*")</x:f>
        <x:v>0</x:v>
      </x:c>
      <x:c r="L6" s="165" t="n">
        <x:f>IF(G6=0,0,SUMIFS('Input_Template'!$N$2:$N$226,'Input_Template'!$B$2:$B$226,A6,'Input_Template'!$E$2:$E$226,E6)/G6)</x:f>
        <x:v>40</x:v>
      </x:c>
      <x:c r="M6" s="165" t="str">
        <x:f>IF(AND(G6&gt;=2,L6=D6),"PASS","REVIEW")</x:f>
        <x:v>PASS</x:v>
      </x:c>
      <x:c r="N6" s="165" t="str">
        <x:f>IF(K6=0,"No","REVIEW")</x:f>
        <x:v>No</x:v>
      </x:c>
    </x:row>
    <x:row r="7" ht="22" customHeight="1">
      <x:c r="A7" s="165" t="str">
        <x:v>ACC</x:v>
      </x:c>
      <x:c r="B7" s="165" t="n">
        <x:v>1</x:v>
      </x:c>
      <x:c r="C7" s="165" t="str">
        <x:v>ACC Y1 P1</x:v>
      </x:c>
      <x:c r="D7" s="165" t="n">
        <x:v>40</x:v>
      </x:c>
      <x:c r="E7" s="88" t="str">
        <x:v>ACC1026</x:v>
      </x:c>
      <x:c r="F7" s="165" t="str">
        <x:v>ACC1026</x:v>
      </x:c>
      <x:c r="G7" s="165" t="n">
        <x:f>COUNTIFS('Input_Template'!$B$2:$B$226,A7,'Input_Template'!$E$2:$E$226,E7)</x:f>
        <x:v>2</x:v>
      </x:c>
      <x:c r="H7" s="178" t="str">
        <x:v>General ENG pattern adapted</x:v>
      </x:c>
      <x:c r="I7" s="178" t="str">
        <x:v>Requirements Template_ENG.xlsx + current admin module database</x:v>
      </x:c>
      <x:c r="J7" s="165" t="n">
        <x:f>COUNTIFS('Input_Template'!$B$2:$B$226,A7,'Input_Template'!$E$2:$E$226,E7,'Input_Template'!$K$2:$K$226,"Online")+COUNTIFS('Input_Template'!$B$2:$B$226,A7,'Input_Template'!$E$2:$E$226,E7,'Input_Template'!$K$2:$K$226,"Asynchronous")</x:f>
        <x:v>0</x:v>
      </x:c>
      <x:c r="K7" s="165" t="n">
        <x:f>COUNTIFS('Input_Template'!$B$2:$B$226,A7,'Input_Template'!$E$2:$E$226,E7,'Input_Template'!$G$2:$G$226,"*lab*")</x:f>
        <x:v>0</x:v>
      </x:c>
      <x:c r="L7" s="165" t="n">
        <x:f>IF(G7=0,0,SUMIFS('Input_Template'!$N$2:$N$226,'Input_Template'!$B$2:$B$226,A7,'Input_Template'!$E$2:$E$226,E7)/G7)</x:f>
        <x:v>40</x:v>
      </x:c>
      <x:c r="M7" s="165" t="str">
        <x:f>IF(AND(G7&gt;=2,L7=D7),"PASS","REVIEW")</x:f>
        <x:v>PASS</x:v>
      </x:c>
      <x:c r="N7" s="165" t="str">
        <x:f>IF(K7=0,"No","REVIEW")</x:f>
        <x:v>No</x:v>
      </x:c>
    </x:row>
    <x:row r="8" ht="22" customHeight="1">
      <x:c r="A8" s="165" t="str">
        <x:v>ACC</x:v>
      </x:c>
      <x:c r="B8" s="165" t="n">
        <x:v>3</x:v>
      </x:c>
      <x:c r="C8" s="165" t="str">
        <x:v>ACC Y3 P1</x:v>
      </x:c>
      <x:c r="D8" s="165" t="n">
        <x:v>40</x:v>
      </x:c>
      <x:c r="E8" s="88" t="str">
        <x:v>ACC3011</x:v>
      </x:c>
      <x:c r="F8" s="165" t="str">
        <x:v>ACC3011</x:v>
      </x:c>
      <x:c r="G8" s="165" t="n">
        <x:f>COUNTIFS('Input_Template'!$B$2:$B$226,A8,'Input_Template'!$E$2:$E$226,E8)</x:f>
        <x:v>2</x:v>
      </x:c>
      <x:c r="H8" s="178" t="str">
        <x:v>General ENG pattern adapted</x:v>
      </x:c>
      <x:c r="I8" s="178" t="str">
        <x:v>Requirements Template_ENG.xlsx + current admin module database</x:v>
      </x:c>
      <x:c r="J8" s="165" t="n">
        <x:f>COUNTIFS('Input_Template'!$B$2:$B$226,A8,'Input_Template'!$E$2:$E$226,E8,'Input_Template'!$K$2:$K$226,"Online")+COUNTIFS('Input_Template'!$B$2:$B$226,A8,'Input_Template'!$E$2:$E$226,E8,'Input_Template'!$K$2:$K$226,"Asynchronous")</x:f>
        <x:v>0</x:v>
      </x:c>
      <x:c r="K8" s="165" t="n">
        <x:f>COUNTIFS('Input_Template'!$B$2:$B$226,A8,'Input_Template'!$E$2:$E$226,E8,'Input_Template'!$G$2:$G$226,"*lab*")</x:f>
        <x:v>0</x:v>
      </x:c>
      <x:c r="L8" s="165" t="n">
        <x:f>IF(G8=0,0,SUMIFS('Input_Template'!$N$2:$N$226,'Input_Template'!$B$2:$B$226,A8,'Input_Template'!$E$2:$E$226,E8)/G8)</x:f>
        <x:v>40</x:v>
      </x:c>
      <x:c r="M8" s="165" t="str">
        <x:f>IF(AND(G8&gt;=2,L8=D8),"PASS","REVIEW")</x:f>
        <x:v>PASS</x:v>
      </x:c>
      <x:c r="N8" s="165" t="str">
        <x:f>IF(K8=0,"No","REVIEW")</x:f>
        <x:v>No</x:v>
      </x:c>
    </x:row>
    <x:row r="9" ht="22" customHeight="1">
      <x:c r="A9" s="165" t="str">
        <x:v>ASE</x:v>
      </x:c>
      <x:c r="B9" s="165" t="n">
        <x:v>1</x:v>
      </x:c>
      <x:c r="C9" s="165" t="str">
        <x:v>ASE Y1 P1</x:v>
      </x:c>
      <x:c r="D9" s="165" t="n">
        <x:v>40</x:v>
      </x:c>
      <x:c r="E9" s="88" t="str">
        <x:v>ASE1101</x:v>
      </x:c>
      <x:c r="F9" s="165" t="str">
        <x:v>ASE1101</x:v>
      </x:c>
      <x:c r="G9" s="165" t="n">
        <x:f>COUNTIFS('Input_Template'!$B$2:$B$226,A9,'Input_Template'!$E$2:$E$226,E9)</x:f>
        <x:v>3</x:v>
      </x:c>
      <x:c r="H9" s="178" t="str">
        <x:v>Programme pattern adapted</x:v>
      </x:c>
      <x:c r="I9" s="178" t="str">
        <x:v>ASE_Year 1_Requirements 2510.xlsx</x:v>
      </x:c>
      <x:c r="J9" s="165" t="n">
        <x:f>COUNTIFS('Input_Template'!$B$2:$B$226,A9,'Input_Template'!$E$2:$E$226,E9,'Input_Template'!$K$2:$K$226,"Online")+COUNTIFS('Input_Template'!$B$2:$B$226,A9,'Input_Template'!$E$2:$E$226,E9,'Input_Template'!$K$2:$K$226,"Asynchronous")</x:f>
        <x:v>1</x:v>
      </x:c>
      <x:c r="K9" s="165" t="n">
        <x:f>COUNTIFS('Input_Template'!$B$2:$B$226,A9,'Input_Template'!$E$2:$E$226,E9,'Input_Template'!$G$2:$G$226,"*lab*")</x:f>
        <x:v>0</x:v>
      </x:c>
      <x:c r="L9" s="165" t="n">
        <x:f>IF(G9=0,0,SUMIFS('Input_Template'!$N$2:$N$226,'Input_Template'!$B$2:$B$226,A9,'Input_Template'!$E$2:$E$226,E9)/G9)</x:f>
        <x:v>40</x:v>
      </x:c>
      <x:c r="M9" s="165" t="str">
        <x:f>IF(AND(G9&gt;=2,L9=D9),"PASS","REVIEW")</x:f>
        <x:v>PASS</x:v>
      </x:c>
      <x:c r="N9" s="165" t="str">
        <x:f>IF(K9=0,"No","REVIEW")</x:f>
        <x:v>No</x:v>
      </x:c>
    </x:row>
    <x:row r="10" ht="22" customHeight="1">
      <x:c r="A10" s="165" t="str">
        <x:v>ASE</x:v>
      </x:c>
      <x:c r="B10" s="165" t="n">
        <x:v>1</x:v>
      </x:c>
      <x:c r="C10" s="165" t="str">
        <x:v>ASE Y1 P1</x:v>
      </x:c>
      <x:c r="D10" s="165" t="n">
        <x:v>40</x:v>
      </x:c>
      <x:c r="E10" s="88" t="str">
        <x:v>ASE1201</x:v>
      </x:c>
      <x:c r="F10" s="165" t="str">
        <x:v>ASE1201</x:v>
      </x:c>
      <x:c r="G10" s="165" t="n">
        <x:f>COUNTIFS('Input_Template'!$B$2:$B$226,A10,'Input_Template'!$E$2:$E$226,E10)</x:f>
        <x:v>2</x:v>
      </x:c>
      <x:c r="H10" s="178" t="str">
        <x:v>Programme pattern adapted</x:v>
      </x:c>
      <x:c r="I10" s="178" t="str">
        <x:v>ASE_Year 1_Requirements 2510.xlsx</x:v>
      </x:c>
      <x:c r="J10" s="165" t="n">
        <x:f>COUNTIFS('Input_Template'!$B$2:$B$226,A10,'Input_Template'!$E$2:$E$226,E10,'Input_Template'!$K$2:$K$226,"Online")+COUNTIFS('Input_Template'!$B$2:$B$226,A10,'Input_Template'!$E$2:$E$226,E10,'Input_Template'!$K$2:$K$226,"Asynchronous")</x:f>
        <x:v>0</x:v>
      </x:c>
      <x:c r="K10" s="165" t="n">
        <x:f>COUNTIFS('Input_Template'!$B$2:$B$226,A10,'Input_Template'!$E$2:$E$226,E10,'Input_Template'!$G$2:$G$226,"*lab*")</x:f>
        <x:v>0</x:v>
      </x:c>
      <x:c r="L10" s="165" t="n">
        <x:f>IF(G10=0,0,SUMIFS('Input_Template'!$N$2:$N$226,'Input_Template'!$B$2:$B$226,A10,'Input_Template'!$E$2:$E$226,E10)/G10)</x:f>
        <x:v>40</x:v>
      </x:c>
      <x:c r="M10" s="165" t="str">
        <x:f>IF(AND(G10&gt;=2,L10=D10),"PASS","REVIEW")</x:f>
        <x:v>PASS</x:v>
      </x:c>
      <x:c r="N10" s="165" t="str">
        <x:f>IF(K10=0,"No","REVIEW")</x:f>
        <x:v>No</x:v>
      </x:c>
    </x:row>
    <x:row r="11" ht="22" customHeight="1">
      <x:c r="A11" s="165" t="str">
        <x:v>ASE</x:v>
      </x:c>
      <x:c r="B11" s="165" t="n">
        <x:v>1</x:v>
      </x:c>
      <x:c r="C11" s="165" t="str">
        <x:v>ASE Y1 P1</x:v>
      </x:c>
      <x:c r="D11" s="165" t="n">
        <x:v>40</x:v>
      </x:c>
      <x:c r="E11" s="88" t="str">
        <x:v>ASE1202</x:v>
      </x:c>
      <x:c r="F11" s="165" t="str">
        <x:v>ASE1202</x:v>
      </x:c>
      <x:c r="G11" s="165" t="n">
        <x:f>COUNTIFS('Input_Template'!$B$2:$B$226,A11,'Input_Template'!$E$2:$E$226,E11)</x:f>
        <x:v>2</x:v>
      </x:c>
      <x:c r="H11" s="178" t="str">
        <x:v>Programme pattern adapted</x:v>
      </x:c>
      <x:c r="I11" s="178" t="str">
        <x:v>ASE_Year 1_Requirements 2510.xlsx</x:v>
      </x:c>
      <x:c r="J11" s="165" t="n">
        <x:f>COUNTIFS('Input_Template'!$B$2:$B$226,A11,'Input_Template'!$E$2:$E$226,E11,'Input_Template'!$K$2:$K$226,"Online")+COUNTIFS('Input_Template'!$B$2:$B$226,A11,'Input_Template'!$E$2:$E$226,E11,'Input_Template'!$K$2:$K$226,"Asynchronous")</x:f>
        <x:v>0</x:v>
      </x:c>
      <x:c r="K11" s="165" t="n">
        <x:f>COUNTIFS('Input_Template'!$B$2:$B$226,A11,'Input_Template'!$E$2:$E$226,E11,'Input_Template'!$G$2:$G$226,"*lab*")</x:f>
        <x:v>0</x:v>
      </x:c>
      <x:c r="L11" s="165" t="n">
        <x:f>IF(G11=0,0,SUMIFS('Input_Template'!$N$2:$N$226,'Input_Template'!$B$2:$B$226,A11,'Input_Template'!$E$2:$E$226,E11)/G11)</x:f>
        <x:v>40</x:v>
      </x:c>
      <x:c r="M11" s="165" t="str">
        <x:f>IF(AND(G11&gt;=2,L11=D11),"PASS","REVIEW")</x:f>
        <x:v>PASS</x:v>
      </x:c>
      <x:c r="N11" s="165" t="str">
        <x:f>IF(K11=0,"No","REVIEW")</x:f>
        <x:v>No</x:v>
      </x:c>
    </x:row>
    <x:row r="12" ht="22" customHeight="1">
      <x:c r="A12" s="165" t="str">
        <x:v>ASE</x:v>
      </x:c>
      <x:c r="B12" s="165" t="n">
        <x:v>2</x:v>
      </x:c>
      <x:c r="C12" s="165" t="str">
        <x:v>ASE Y2 P1</x:v>
      </x:c>
      <x:c r="D12" s="165" t="n">
        <x:v>40</x:v>
      </x:c>
      <x:c r="E12" s="88" t="str">
        <x:v>ASE2210</x:v>
      </x:c>
      <x:c r="F12" s="165" t="str">
        <x:v>ASE2210</x:v>
      </x:c>
      <x:c r="G12" s="165" t="n">
        <x:f>COUNTIFS('Input_Template'!$B$2:$B$226,A12,'Input_Template'!$E$2:$E$226,E12)</x:f>
        <x:v>2</x:v>
      </x:c>
      <x:c r="H12" s="178" t="str">
        <x:v>Exact historical module</x:v>
      </x:c>
      <x:c r="I12" s="178" t="str">
        <x:v>ASE_Year 2_Requirements 2510.xlsx; Requirements Template_ENG.xlsx + current admin module database</x:v>
      </x:c>
      <x:c r="J12" s="165" t="n">
        <x:f>COUNTIFS('Input_Template'!$B$2:$B$226,A12,'Input_Template'!$E$2:$E$226,E12,'Input_Template'!$K$2:$K$226,"Online")+COUNTIFS('Input_Template'!$B$2:$B$226,A12,'Input_Template'!$E$2:$E$226,E12,'Input_Template'!$K$2:$K$226,"Asynchronous")</x:f>
        <x:v>0</x:v>
      </x:c>
      <x:c r="K12" s="165" t="n">
        <x:f>COUNTIFS('Input_Template'!$B$2:$B$226,A12,'Input_Template'!$E$2:$E$226,E12,'Input_Template'!$G$2:$G$226,"*lab*")</x:f>
        <x:v>0</x:v>
      </x:c>
      <x:c r="L12" s="165" t="n">
        <x:f>IF(G12=0,0,SUMIFS('Input_Template'!$N$2:$N$226,'Input_Template'!$B$2:$B$226,A12,'Input_Template'!$E$2:$E$226,E12)/G12)</x:f>
        <x:v>40</x:v>
      </x:c>
      <x:c r="M12" s="165" t="str">
        <x:f>IF(AND(G12&gt;=2,L12=D12),"PASS","REVIEW")</x:f>
        <x:v>PASS</x:v>
      </x:c>
      <x:c r="N12" s="165" t="str">
        <x:f>IF(K12=0,"No","REVIEW")</x:f>
        <x:v>No</x:v>
      </x:c>
    </x:row>
    <x:row r="13" ht="22" customHeight="1">
      <x:c r="A13" s="165" t="str">
        <x:v>ASE</x:v>
      </x:c>
      <x:c r="B13" s="165" t="n">
        <x:v>3</x:v>
      </x:c>
      <x:c r="C13" s="165" t="str">
        <x:v>ASE Y3 P1</x:v>
      </x:c>
      <x:c r="D13" s="165" t="n">
        <x:v>40</x:v>
      </x:c>
      <x:c r="E13" s="88" t="str">
        <x:v>ASE3106</x:v>
      </x:c>
      <x:c r="F13" s="165" t="str">
        <x:v>ASE3106</x:v>
      </x:c>
      <x:c r="G13" s="165" t="n">
        <x:f>COUNTIFS('Input_Template'!$B$2:$B$226,A13,'Input_Template'!$E$2:$E$226,E13)</x:f>
        <x:v>2</x:v>
      </x:c>
      <x:c r="H13" s="178" t="str">
        <x:v>Exact historical module</x:v>
      </x:c>
      <x:c r="I13" s="178" t="str">
        <x:v>ASE_Year 3_Requirements 2510.xlsx; Requirements Template_ENG.xlsx + current admin module database</x:v>
      </x:c>
      <x:c r="J13" s="165" t="n">
        <x:f>COUNTIFS('Input_Template'!$B$2:$B$226,A13,'Input_Template'!$E$2:$E$226,E13,'Input_Template'!$K$2:$K$226,"Online")+COUNTIFS('Input_Template'!$B$2:$B$226,A13,'Input_Template'!$E$2:$E$226,E13,'Input_Template'!$K$2:$K$226,"Asynchronous")</x:f>
        <x:v>0</x:v>
      </x:c>
      <x:c r="K13" s="165" t="n">
        <x:f>COUNTIFS('Input_Template'!$B$2:$B$226,A13,'Input_Template'!$E$2:$E$226,E13,'Input_Template'!$G$2:$G$226,"*lab*")</x:f>
        <x:v>0</x:v>
      </x:c>
      <x:c r="L13" s="165" t="n">
        <x:f>IF(G13=0,0,SUMIFS('Input_Template'!$N$2:$N$226,'Input_Template'!$B$2:$B$226,A13,'Input_Template'!$E$2:$E$226,E13)/G13)</x:f>
        <x:v>40</x:v>
      </x:c>
      <x:c r="M13" s="165" t="str">
        <x:f>IF(AND(G13&gt;=2,L13=D13),"PASS","REVIEW")</x:f>
        <x:v>PASS</x:v>
      </x:c>
      <x:c r="N13" s="165" t="str">
        <x:f>IF(K13=0,"No","REVIEW")</x:f>
        <x:v>No</x:v>
      </x:c>
    </x:row>
    <x:row r="14" ht="22" customHeight="1">
      <x:c r="A14" s="165" t="str">
        <x:v>ATM</x:v>
      </x:c>
      <x:c r="B14" s="165" t="n">
        <x:v>1</x:v>
      </x:c>
      <x:c r="C14" s="165" t="str">
        <x:v>ATM Y1 P1</x:v>
      </x:c>
      <x:c r="D14" s="165" t="n">
        <x:v>40</x:v>
      </x:c>
      <x:c r="E14" s="88" t="str">
        <x:v>ATM1104</x:v>
      </x:c>
      <x:c r="F14" s="165" t="str">
        <x:v>ATM1104</x:v>
      </x:c>
      <x:c r="G14" s="165" t="n">
        <x:f>COUNTIFS('Input_Template'!$B$2:$B$226,A14,'Input_Template'!$E$2:$E$226,E14)</x:f>
        <x:v>2</x:v>
      </x:c>
      <x:c r="H14" s="178" t="str">
        <x:v>General ENG pattern adapted</x:v>
      </x:c>
      <x:c r="I14" s="178" t="str">
        <x:v>Requirements Template_ENG.xlsx + current admin module database</x:v>
      </x:c>
      <x:c r="J14" s="165" t="n">
        <x:f>COUNTIFS('Input_Template'!$B$2:$B$226,A14,'Input_Template'!$E$2:$E$226,E14,'Input_Template'!$K$2:$K$226,"Online")+COUNTIFS('Input_Template'!$B$2:$B$226,A14,'Input_Template'!$E$2:$E$226,E14,'Input_Template'!$K$2:$K$226,"Asynchronous")</x:f>
        <x:v>1</x:v>
      </x:c>
      <x:c r="K14" s="165" t="n">
        <x:f>COUNTIFS('Input_Template'!$B$2:$B$226,A14,'Input_Template'!$E$2:$E$226,E14,'Input_Template'!$G$2:$G$226,"*lab*")</x:f>
        <x:v>0</x:v>
      </x:c>
      <x:c r="L14" s="165" t="n">
        <x:f>IF(G14=0,0,SUMIFS('Input_Template'!$N$2:$N$226,'Input_Template'!$B$2:$B$226,A14,'Input_Template'!$E$2:$E$226,E14)/G14)</x:f>
        <x:v>40</x:v>
      </x:c>
      <x:c r="M14" s="165" t="str">
        <x:f>IF(AND(G14&gt;=2,L14=D14),"PASS","REVIEW")</x:f>
        <x:v>PASS</x:v>
      </x:c>
      <x:c r="N14" s="165" t="str">
        <x:f>IF(K14=0,"No","REVIEW")</x:f>
        <x:v>No</x:v>
      </x:c>
    </x:row>
    <x:row r="15" ht="22" customHeight="1">
      <x:c r="A15" s="165" t="str">
        <x:v>ATM</x:v>
      </x:c>
      <x:c r="B15" s="165" t="n">
        <x:v>1</x:v>
      </x:c>
      <x:c r="C15" s="165" t="str">
        <x:v>ATM Y1 P1</x:v>
      </x:c>
      <x:c r="D15" s="165" t="n">
        <x:v>40</x:v>
      </x:c>
      <x:c r="E15" s="88" t="str">
        <x:v>ATM1105</x:v>
      </x:c>
      <x:c r="F15" s="165" t="str">
        <x:v>ATM1105</x:v>
      </x:c>
      <x:c r="G15" s="165" t="n">
        <x:f>COUNTIFS('Input_Template'!$B$2:$B$226,A15,'Input_Template'!$E$2:$E$226,E15)</x:f>
        <x:v>2</x:v>
      </x:c>
      <x:c r="H15" s="178" t="str">
        <x:v>General ENG pattern adapted</x:v>
      </x:c>
      <x:c r="I15" s="178" t="str">
        <x:v>Requirements Template_ENG.xlsx + current admin module database</x:v>
      </x:c>
      <x:c r="J15" s="165" t="n">
        <x:f>COUNTIFS('Input_Template'!$B$2:$B$226,A15,'Input_Template'!$E$2:$E$226,E15,'Input_Template'!$K$2:$K$226,"Online")+COUNTIFS('Input_Template'!$B$2:$B$226,A15,'Input_Template'!$E$2:$E$226,E15,'Input_Template'!$K$2:$K$226,"Asynchronous")</x:f>
        <x:v>0</x:v>
      </x:c>
      <x:c r="K15" s="165" t="n">
        <x:f>COUNTIFS('Input_Template'!$B$2:$B$226,A15,'Input_Template'!$E$2:$E$226,E15,'Input_Template'!$G$2:$G$226,"*lab*")</x:f>
        <x:v>0</x:v>
      </x:c>
      <x:c r="L15" s="165" t="n">
        <x:f>IF(G15=0,0,SUMIFS('Input_Template'!$N$2:$N$226,'Input_Template'!$B$2:$B$226,A15,'Input_Template'!$E$2:$E$226,E15)/G15)</x:f>
        <x:v>40</x:v>
      </x:c>
      <x:c r="M15" s="165" t="str">
        <x:f>IF(AND(G15&gt;=2,L15=D15),"PASS","REVIEW")</x:f>
        <x:v>PASS</x:v>
      </x:c>
      <x:c r="N15" s="165" t="str">
        <x:f>IF(K15=0,"No","REVIEW")</x:f>
        <x:v>No</x:v>
      </x:c>
    </x:row>
    <x:row r="16" ht="22" customHeight="1">
      <x:c r="A16" s="165" t="str">
        <x:v>ATM</x:v>
      </x:c>
      <x:c r="B16" s="165" t="n">
        <x:v>1</x:v>
      </x:c>
      <x:c r="C16" s="165" t="str">
        <x:v>ATM Y1 P1</x:v>
      </x:c>
      <x:c r="D16" s="165" t="n">
        <x:v>40</x:v>
      </x:c>
      <x:c r="E16" s="88" t="str">
        <x:v>ATM1106</x:v>
      </x:c>
      <x:c r="F16" s="165" t="str">
        <x:v>ATM1106</x:v>
      </x:c>
      <x:c r="G16" s="165" t="n">
        <x:f>COUNTIFS('Input_Template'!$B$2:$B$226,A16,'Input_Template'!$E$2:$E$226,E16)</x:f>
        <x:v>3</x:v>
      </x:c>
      <x:c r="H16" s="178" t="str">
        <x:v>General ENG pattern adapted</x:v>
      </x:c>
      <x:c r="I16" s="178" t="str">
        <x:v>Requirements Template_ENG.xlsx + current admin module database</x:v>
      </x:c>
      <x:c r="J16" s="165" t="n">
        <x:f>COUNTIFS('Input_Template'!$B$2:$B$226,A16,'Input_Template'!$E$2:$E$226,E16,'Input_Template'!$K$2:$K$226,"Online")+COUNTIFS('Input_Template'!$B$2:$B$226,A16,'Input_Template'!$E$2:$E$226,E16,'Input_Template'!$K$2:$K$226,"Asynchronous")</x:f>
        <x:v>0</x:v>
      </x:c>
      <x:c r="K16" s="165" t="n">
        <x:f>COUNTIFS('Input_Template'!$B$2:$B$226,A16,'Input_Template'!$E$2:$E$226,E16,'Input_Template'!$G$2:$G$226,"*lab*")</x:f>
        <x:v>0</x:v>
      </x:c>
      <x:c r="L16" s="165" t="n">
        <x:f>IF(G16=0,0,SUMIFS('Input_Template'!$N$2:$N$226,'Input_Template'!$B$2:$B$226,A16,'Input_Template'!$E$2:$E$226,E16)/G16)</x:f>
        <x:v>40</x:v>
      </x:c>
      <x:c r="M16" s="165" t="str">
        <x:f>IF(AND(G16&gt;=2,L16=D16),"PASS","REVIEW")</x:f>
        <x:v>PASS</x:v>
      </x:c>
      <x:c r="N16" s="165" t="str">
        <x:f>IF(K16=0,"No","REVIEW")</x:f>
        <x:v>No</x:v>
      </x:c>
    </x:row>
    <x:row r="17" ht="22" customHeight="1">
      <x:c r="A17" s="165" t="str">
        <x:v>ATM</x:v>
      </x:c>
      <x:c r="B17" s="165" t="n">
        <x:v>3</x:v>
      </x:c>
      <x:c r="C17" s="165" t="str">
        <x:v>ATM Y3 P1</x:v>
      </x:c>
      <x:c r="D17" s="165" t="n">
        <x:v>40</x:v>
      </x:c>
      <x:c r="E17" s="88" t="str">
        <x:v>ATM3301</x:v>
      </x:c>
      <x:c r="F17" s="165" t="str">
        <x:v>ATM3301</x:v>
      </x:c>
      <x:c r="G17" s="165" t="n">
        <x:f>COUNTIFS('Input_Template'!$B$2:$B$226,A17,'Input_Template'!$E$2:$E$226,E17)</x:f>
        <x:v>2</x:v>
      </x:c>
      <x:c r="H17" s="178" t="str">
        <x:v>General ENG pattern adapted</x:v>
      </x:c>
      <x:c r="I17" s="178" t="str">
        <x:v>Requirements Template_ENG.xlsx + current admin module database</x:v>
      </x:c>
      <x:c r="J17" s="165" t="n">
        <x:f>COUNTIFS('Input_Template'!$B$2:$B$226,A17,'Input_Template'!$E$2:$E$226,E17,'Input_Template'!$K$2:$K$226,"Online")+COUNTIFS('Input_Template'!$B$2:$B$226,A17,'Input_Template'!$E$2:$E$226,E17,'Input_Template'!$K$2:$K$226,"Asynchronous")</x:f>
        <x:v>0</x:v>
      </x:c>
      <x:c r="K17" s="165" t="n">
        <x:f>COUNTIFS('Input_Template'!$B$2:$B$226,A17,'Input_Template'!$E$2:$E$226,E17,'Input_Template'!$G$2:$G$226,"*lab*")</x:f>
        <x:v>0</x:v>
      </x:c>
      <x:c r="L17" s="165" t="n">
        <x:f>IF(G17=0,0,SUMIFS('Input_Template'!$N$2:$N$226,'Input_Template'!$B$2:$B$226,A17,'Input_Template'!$E$2:$E$226,E17)/G17)</x:f>
        <x:v>40</x:v>
      </x:c>
      <x:c r="M17" s="165" t="str">
        <x:f>IF(AND(G17&gt;=2,L17=D17),"PASS","REVIEW")</x:f>
        <x:v>PASS</x:v>
      </x:c>
      <x:c r="N17" s="165" t="str">
        <x:f>IF(K17=0,"No","REVIEW")</x:f>
        <x:v>No</x:v>
      </x:c>
    </x:row>
    <x:row r="18" ht="22" customHeight="1">
      <x:c r="A18" s="165" t="str">
        <x:v>ATM</x:v>
      </x:c>
      <x:c r="B18" s="165" t="n">
        <x:v>3</x:v>
      </x:c>
      <x:c r="C18" s="165" t="str">
        <x:v>ATM Y3 P1</x:v>
      </x:c>
      <x:c r="D18" s="165" t="n">
        <x:v>40</x:v>
      </x:c>
      <x:c r="E18" s="88" t="str">
        <x:v>ATM3302</x:v>
      </x:c>
      <x:c r="F18" s="165" t="str">
        <x:v>ATM3302</x:v>
      </x:c>
      <x:c r="G18" s="165" t="n">
        <x:f>COUNTIFS('Input_Template'!$B$2:$B$226,A18,'Input_Template'!$E$2:$E$226,E18)</x:f>
        <x:v>2</x:v>
      </x:c>
      <x:c r="H18" s="178" t="str">
        <x:v>General ENG pattern adapted</x:v>
      </x:c>
      <x:c r="I18" s="178" t="str">
        <x:v>Requirements Template_ENG.xlsx + current admin module database</x:v>
      </x:c>
      <x:c r="J18" s="165" t="n">
        <x:f>COUNTIFS('Input_Template'!$B$2:$B$226,A18,'Input_Template'!$E$2:$E$226,E18,'Input_Template'!$K$2:$K$226,"Online")+COUNTIFS('Input_Template'!$B$2:$B$226,A18,'Input_Template'!$E$2:$E$226,E18,'Input_Template'!$K$2:$K$226,"Asynchronous")</x:f>
        <x:v>0</x:v>
      </x:c>
      <x:c r="K18" s="165" t="n">
        <x:f>COUNTIFS('Input_Template'!$B$2:$B$226,A18,'Input_Template'!$E$2:$E$226,E18,'Input_Template'!$G$2:$G$226,"*lab*")</x:f>
        <x:v>0</x:v>
      </x:c>
      <x:c r="L18" s="165" t="n">
        <x:f>IF(G18=0,0,SUMIFS('Input_Template'!$N$2:$N$226,'Input_Template'!$B$2:$B$226,A18,'Input_Template'!$E$2:$E$226,E18)/G18)</x:f>
        <x:v>40</x:v>
      </x:c>
      <x:c r="M18" s="165" t="str">
        <x:f>IF(AND(G18&gt;=2,L18=D18),"PASS","REVIEW")</x:f>
        <x:v>PASS</x:v>
      </x:c>
      <x:c r="N18" s="165" t="str">
        <x:f>IF(K18=0,"No","REVIEW")</x:f>
        <x:v>No</x:v>
      </x:c>
    </x:row>
    <x:row r="19" ht="22" customHeight="1">
      <x:c r="A19" s="165" t="str">
        <x:v>BAC</x:v>
      </x:c>
      <x:c r="B19" s="165" t="n">
        <x:v>2</x:v>
      </x:c>
      <x:c r="C19" s="165" t="str">
        <x:v>BAC Y2 P1</x:v>
      </x:c>
      <x:c r="D19" s="165" t="n">
        <x:v>40</x:v>
      </x:c>
      <x:c r="E19" s="88" t="str">
        <x:v>BAC2001</x:v>
      </x:c>
      <x:c r="F19" s="165" t="str">
        <x:v>BAC2001</x:v>
      </x:c>
      <x:c r="G19" s="165" t="n">
        <x:f>COUNTIFS('Input_Template'!$B$2:$B$226,A19,'Input_Template'!$E$2:$E$226,E19)</x:f>
        <x:v>2</x:v>
      </x:c>
      <x:c r="H19" s="178" t="str">
        <x:v>General ENG pattern adapted</x:v>
      </x:c>
      <x:c r="I19" s="178" t="str">
        <x:v>Requirements Template_ENG.xlsx + current admin module database</x:v>
      </x:c>
      <x:c r="J19" s="165" t="n">
        <x:f>COUNTIFS('Input_Template'!$B$2:$B$226,A19,'Input_Template'!$E$2:$E$226,E19,'Input_Template'!$K$2:$K$226,"Online")+COUNTIFS('Input_Template'!$B$2:$B$226,A19,'Input_Template'!$E$2:$E$226,E19,'Input_Template'!$K$2:$K$226,"Asynchronous")</x:f>
        <x:v>1</x:v>
      </x:c>
      <x:c r="K19" s="165" t="n">
        <x:f>COUNTIFS('Input_Template'!$B$2:$B$226,A19,'Input_Template'!$E$2:$E$226,E19,'Input_Template'!$G$2:$G$226,"*lab*")</x:f>
        <x:v>0</x:v>
      </x:c>
      <x:c r="L19" s="165" t="n">
        <x:f>IF(G19=0,0,SUMIFS('Input_Template'!$N$2:$N$226,'Input_Template'!$B$2:$B$226,A19,'Input_Template'!$E$2:$E$226,E19)/G19)</x:f>
        <x:v>40</x:v>
      </x:c>
      <x:c r="M19" s="165" t="str">
        <x:f>IF(AND(G19&gt;=2,L19=D19),"PASS","REVIEW")</x:f>
        <x:v>PASS</x:v>
      </x:c>
      <x:c r="N19" s="165" t="str">
        <x:f>IF(K19=0,"No","REVIEW")</x:f>
        <x:v>No</x:v>
      </x:c>
    </x:row>
    <x:row r="20" ht="22" customHeight="1">
      <x:c r="A20" s="165" t="str">
        <x:v>BAC</x:v>
      </x:c>
      <x:c r="B20" s="165" t="n">
        <x:v>2</x:v>
      </x:c>
      <x:c r="C20" s="165" t="str">
        <x:v>BAC Y2 P1</x:v>
      </x:c>
      <x:c r="D20" s="165" t="n">
        <x:v>40</x:v>
      </x:c>
      <x:c r="E20" s="88" t="str">
        <x:v>BAC2002</x:v>
      </x:c>
      <x:c r="F20" s="165" t="str">
        <x:v>BAC2002</x:v>
      </x:c>
      <x:c r="G20" s="165" t="n">
        <x:f>COUNTIFS('Input_Template'!$B$2:$B$226,A20,'Input_Template'!$E$2:$E$226,E20)</x:f>
        <x:v>2</x:v>
      </x:c>
      <x:c r="H20" s="178" t="str">
        <x:v>General ENG pattern adapted</x:v>
      </x:c>
      <x:c r="I20" s="178" t="str">
        <x:v>Requirements Template_ENG.xlsx + current admin module database</x:v>
      </x:c>
      <x:c r="J20" s="165" t="n">
        <x:f>COUNTIFS('Input_Template'!$B$2:$B$226,A20,'Input_Template'!$E$2:$E$226,E20,'Input_Template'!$K$2:$K$226,"Online")+COUNTIFS('Input_Template'!$B$2:$B$226,A20,'Input_Template'!$E$2:$E$226,E20,'Input_Template'!$K$2:$K$226,"Asynchronous")</x:f>
        <x:v>0</x:v>
      </x:c>
      <x:c r="K20" s="165" t="n">
        <x:f>COUNTIFS('Input_Template'!$B$2:$B$226,A20,'Input_Template'!$E$2:$E$226,E20,'Input_Template'!$G$2:$G$226,"*lab*")</x:f>
        <x:v>0</x:v>
      </x:c>
      <x:c r="L20" s="165" t="n">
        <x:f>IF(G20=0,0,SUMIFS('Input_Template'!$N$2:$N$226,'Input_Template'!$B$2:$B$226,A20,'Input_Template'!$E$2:$E$226,E20)/G20)</x:f>
        <x:v>40</x:v>
      </x:c>
      <x:c r="M20" s="165" t="str">
        <x:f>IF(AND(G20&gt;=2,L20=D20),"PASS","REVIEW")</x:f>
        <x:v>PASS</x:v>
      </x:c>
      <x:c r="N20" s="165" t="str">
        <x:f>IF(K20=0,"No","REVIEW")</x:f>
        <x:v>No</x:v>
      </x:c>
    </x:row>
    <x:row r="21" ht="22" customHeight="1">
      <x:c r="A21" s="165" t="str">
        <x:v>BAC</x:v>
      </x:c>
      <x:c r="B21" s="165" t="n">
        <x:v>2</x:v>
      </x:c>
      <x:c r="C21" s="165" t="str">
        <x:v>BAC Y2 P1</x:v>
      </x:c>
      <x:c r="D21" s="165" t="n">
        <x:v>40</x:v>
      </x:c>
      <x:c r="E21" s="88" t="str">
        <x:v>BAC2005</x:v>
      </x:c>
      <x:c r="F21" s="165" t="str">
        <x:v>BAC2005</x:v>
      </x:c>
      <x:c r="G21" s="165" t="n">
        <x:f>COUNTIFS('Input_Template'!$B$2:$B$226,A21,'Input_Template'!$E$2:$E$226,E21)</x:f>
        <x:v>3</x:v>
      </x:c>
      <x:c r="H21" s="178" t="str">
        <x:v>General ENG pattern adapted</x:v>
      </x:c>
      <x:c r="I21" s="178" t="str">
        <x:v>Requirements Template_ENG.xlsx + current admin module database</x:v>
      </x:c>
      <x:c r="J21" s="165" t="n">
        <x:f>COUNTIFS('Input_Template'!$B$2:$B$226,A21,'Input_Template'!$E$2:$E$226,E21,'Input_Template'!$K$2:$K$226,"Online")+COUNTIFS('Input_Template'!$B$2:$B$226,A21,'Input_Template'!$E$2:$E$226,E21,'Input_Template'!$K$2:$K$226,"Asynchronous")</x:f>
        <x:v>0</x:v>
      </x:c>
      <x:c r="K21" s="165" t="n">
        <x:f>COUNTIFS('Input_Template'!$B$2:$B$226,A21,'Input_Template'!$E$2:$E$226,E21,'Input_Template'!$G$2:$G$226,"*lab*")</x:f>
        <x:v>0</x:v>
      </x:c>
      <x:c r="L21" s="165" t="n">
        <x:f>IF(G21=0,0,SUMIFS('Input_Template'!$N$2:$N$226,'Input_Template'!$B$2:$B$226,A21,'Input_Template'!$E$2:$E$226,E21)/G21)</x:f>
        <x:v>40</x:v>
      </x:c>
      <x:c r="M21" s="165" t="str">
        <x:f>IF(AND(G21&gt;=2,L21=D21),"PASS","REVIEW")</x:f>
        <x:v>PASS</x:v>
      </x:c>
      <x:c r="N21" s="165" t="str">
        <x:f>IF(K21=0,"No","REVIEW")</x:f>
        <x:v>No</x:v>
      </x:c>
    </x:row>
    <x:row r="22" ht="22" customHeight="1">
      <x:c r="A22" s="165" t="str">
        <x:v>BAC</x:v>
      </x:c>
      <x:c r="B22" s="165" t="n">
        <x:v>3</x:v>
      </x:c>
      <x:c r="C22" s="165" t="str">
        <x:v>BAC Y3 P1</x:v>
      </x:c>
      <x:c r="D22" s="165" t="n">
        <x:v>40</x:v>
      </x:c>
      <x:c r="E22" s="88" t="str">
        <x:v>BAC3003A</x:v>
      </x:c>
      <x:c r="F22" s="165" t="str">
        <x:v>BAC3003A</x:v>
      </x:c>
      <x:c r="G22" s="165" t="n">
        <x:f>COUNTIFS('Input_Template'!$B$2:$B$226,A22,'Input_Template'!$E$2:$E$226,E22)</x:f>
        <x:v>2</x:v>
      </x:c>
      <x:c r="H22" s="178" t="str">
        <x:v>General ENG pattern adapted</x:v>
      </x:c>
      <x:c r="I22" s="178" t="str">
        <x:v>Requirements Template_ENG.xlsx + current admin module database</x:v>
      </x:c>
      <x:c r="J22" s="165" t="n">
        <x:f>COUNTIFS('Input_Template'!$B$2:$B$226,A22,'Input_Template'!$E$2:$E$226,E22,'Input_Template'!$K$2:$K$226,"Online")+COUNTIFS('Input_Template'!$B$2:$B$226,A22,'Input_Template'!$E$2:$E$226,E22,'Input_Template'!$K$2:$K$226,"Asynchronous")</x:f>
        <x:v>0</x:v>
      </x:c>
      <x:c r="K22" s="165" t="n">
        <x:f>COUNTIFS('Input_Template'!$B$2:$B$226,A22,'Input_Template'!$E$2:$E$226,E22,'Input_Template'!$G$2:$G$226,"*lab*")</x:f>
        <x:v>0</x:v>
      </x:c>
      <x:c r="L22" s="165" t="n">
        <x:f>IF(G22=0,0,SUMIFS('Input_Template'!$N$2:$N$226,'Input_Template'!$B$2:$B$226,A22,'Input_Template'!$E$2:$E$226,E22)/G22)</x:f>
        <x:v>40</x:v>
      </x:c>
      <x:c r="M22" s="165" t="str">
        <x:f>IF(AND(G22&gt;=2,L22=D22),"PASS","REVIEW")</x:f>
        <x:v>PASS</x:v>
      </x:c>
      <x:c r="N22" s="165" t="str">
        <x:f>IF(K22=0,"No","REVIEW")</x:f>
        <x:v>No</x:v>
      </x:c>
    </x:row>
    <x:row r="23" ht="22" customHeight="1">
      <x:c r="A23" s="165" t="str">
        <x:v>BAC</x:v>
      </x:c>
      <x:c r="B23" s="165" t="n">
        <x:v>3</x:v>
      </x:c>
      <x:c r="C23" s="165" t="str">
        <x:v>BAC Y3 P1</x:v>
      </x:c>
      <x:c r="D23" s="165" t="n">
        <x:v>40</x:v>
      </x:c>
      <x:c r="E23" s="88" t="str">
        <x:v>BAC3004</x:v>
      </x:c>
      <x:c r="F23" s="165" t="str">
        <x:v>BAC3004</x:v>
      </x:c>
      <x:c r="G23" s="165" t="n">
        <x:f>COUNTIFS('Input_Template'!$B$2:$B$226,A23,'Input_Template'!$E$2:$E$226,E23)</x:f>
        <x:v>2</x:v>
      </x:c>
      <x:c r="H23" s="178" t="str">
        <x:v>General ENG pattern adapted</x:v>
      </x:c>
      <x:c r="I23" s="178" t="str">
        <x:v>Requirements Template_ENG.xlsx + current admin module database</x:v>
      </x:c>
      <x:c r="J23" s="165" t="n">
        <x:f>COUNTIFS('Input_Template'!$B$2:$B$226,A23,'Input_Template'!$E$2:$E$226,E23,'Input_Template'!$K$2:$K$226,"Online")+COUNTIFS('Input_Template'!$B$2:$B$226,A23,'Input_Template'!$E$2:$E$226,E23,'Input_Template'!$K$2:$K$226,"Asynchronous")</x:f>
        <x:v>0</x:v>
      </x:c>
      <x:c r="K23" s="165" t="n">
        <x:f>COUNTIFS('Input_Template'!$B$2:$B$226,A23,'Input_Template'!$E$2:$E$226,E23,'Input_Template'!$G$2:$G$226,"*lab*")</x:f>
        <x:v>0</x:v>
      </x:c>
      <x:c r="L23" s="165" t="n">
        <x:f>IF(G23=0,0,SUMIFS('Input_Template'!$N$2:$N$226,'Input_Template'!$B$2:$B$226,A23,'Input_Template'!$E$2:$E$226,E23)/G23)</x:f>
        <x:v>40</x:v>
      </x:c>
      <x:c r="M23" s="165" t="str">
        <x:f>IF(AND(G23&gt;=2,L23=D23),"PASS","REVIEW")</x:f>
        <x:v>PASS</x:v>
      </x:c>
      <x:c r="N23" s="165" t="str">
        <x:f>IF(K23=0,"No","REVIEW")</x:f>
        <x:v>No</x:v>
      </x:c>
    </x:row>
    <x:row r="24" ht="22" customHeight="1">
      <x:c r="A24" s="165" t="str">
        <x:v>CDM</x:v>
      </x:c>
      <x:c r="B24" s="165" t="n">
        <x:v>1</x:v>
      </x:c>
      <x:c r="C24" s="165" t="str">
        <x:v>CDM Y1 P1</x:v>
      </x:c>
      <x:c r="D24" s="165" t="n">
        <x:v>40</x:v>
      </x:c>
      <x:c r="E24" s="88" t="str">
        <x:v>DCM1011</x:v>
      </x:c>
      <x:c r="F24" s="165" t="str">
        <x:v>DCM1011</x:v>
      </x:c>
      <x:c r="G24" s="165" t="n">
        <x:f>COUNTIFS('Input_Template'!$B$2:$B$226,A24,'Input_Template'!$E$2:$E$226,E24)</x:f>
        <x:v>2</x:v>
      </x:c>
      <x:c r="H24" s="178" t="str">
        <x:v>General ENG pattern adapted</x:v>
      </x:c>
      <x:c r="I24" s="178" t="str">
        <x:v>Requirements Template_ENG.xlsx + current admin module database</x:v>
      </x:c>
      <x:c r="J24" s="165" t="n">
        <x:f>COUNTIFS('Input_Template'!$B$2:$B$226,A24,'Input_Template'!$E$2:$E$226,E24,'Input_Template'!$K$2:$K$226,"Online")+COUNTIFS('Input_Template'!$B$2:$B$226,A24,'Input_Template'!$E$2:$E$226,E24,'Input_Template'!$K$2:$K$226,"Asynchronous")</x:f>
        <x:v>1</x:v>
      </x:c>
      <x:c r="K24" s="165" t="n">
        <x:f>COUNTIFS('Input_Template'!$B$2:$B$226,A24,'Input_Template'!$E$2:$E$226,E24,'Input_Template'!$G$2:$G$226,"*lab*")</x:f>
        <x:v>0</x:v>
      </x:c>
      <x:c r="L24" s="165" t="n">
        <x:f>IF(G24=0,0,SUMIFS('Input_Template'!$N$2:$N$226,'Input_Template'!$B$2:$B$226,A24,'Input_Template'!$E$2:$E$226,E24)/G24)</x:f>
        <x:v>40</x:v>
      </x:c>
      <x:c r="M24" s="165" t="str">
        <x:f>IF(AND(G24&gt;=2,L24=D24),"PASS","REVIEW")</x:f>
        <x:v>PASS</x:v>
      </x:c>
      <x:c r="N24" s="165" t="str">
        <x:f>IF(K24=0,"No","REVIEW")</x:f>
        <x:v>No</x:v>
      </x:c>
    </x:row>
    <x:row r="25" ht="22" customHeight="1">
      <x:c r="A25" s="165" t="str">
        <x:v>CDM</x:v>
      </x:c>
      <x:c r="B25" s="165" t="n">
        <x:v>1</x:v>
      </x:c>
      <x:c r="C25" s="165" t="str">
        <x:v>CDM Y1 P1</x:v>
      </x:c>
      <x:c r="D25" s="165" t="n">
        <x:v>40</x:v>
      </x:c>
      <x:c r="E25" s="88" t="str">
        <x:v>DCM1021</x:v>
      </x:c>
      <x:c r="F25" s="165" t="str">
        <x:v>DCM1021</x:v>
      </x:c>
      <x:c r="G25" s="165" t="n">
        <x:f>COUNTIFS('Input_Template'!$B$2:$B$226,A25,'Input_Template'!$E$2:$E$226,E25)</x:f>
        <x:v>2</x:v>
      </x:c>
      <x:c r="H25" s="178" t="str">
        <x:v>General ENG pattern adapted</x:v>
      </x:c>
      <x:c r="I25" s="178" t="str">
        <x:v>Requirements Template_ENG.xlsx + current admin module database</x:v>
      </x:c>
      <x:c r="J25" s="165" t="n">
        <x:f>COUNTIFS('Input_Template'!$B$2:$B$226,A25,'Input_Template'!$E$2:$E$226,E25,'Input_Template'!$K$2:$K$226,"Online")+COUNTIFS('Input_Template'!$B$2:$B$226,A25,'Input_Template'!$E$2:$E$226,E25,'Input_Template'!$K$2:$K$226,"Asynchronous")</x:f>
        <x:v>0</x:v>
      </x:c>
      <x:c r="K25" s="165" t="n">
        <x:f>COUNTIFS('Input_Template'!$B$2:$B$226,A25,'Input_Template'!$E$2:$E$226,E25,'Input_Template'!$G$2:$G$226,"*lab*")</x:f>
        <x:v>0</x:v>
      </x:c>
      <x:c r="L25" s="165" t="n">
        <x:f>IF(G25=0,0,SUMIFS('Input_Template'!$N$2:$N$226,'Input_Template'!$B$2:$B$226,A25,'Input_Template'!$E$2:$E$226,E25)/G25)</x:f>
        <x:v>40</x:v>
      </x:c>
      <x:c r="M25" s="165" t="str">
        <x:f>IF(AND(G25&gt;=2,L25=D25),"PASS","REVIEW")</x:f>
        <x:v>PASS</x:v>
      </x:c>
      <x:c r="N25" s="165" t="str">
        <x:f>IF(K25=0,"No","REVIEW")</x:f>
        <x:v>No</x:v>
      </x:c>
    </x:row>
    <x:row r="26" ht="22" customHeight="1">
      <x:c r="A26" s="165" t="str">
        <x:v>CDM</x:v>
      </x:c>
      <x:c r="B26" s="165" t="n">
        <x:v>1</x:v>
      </x:c>
      <x:c r="C26" s="165" t="str">
        <x:v>CDM Y1 P1</x:v>
      </x:c>
      <x:c r="D26" s="165" t="n">
        <x:v>40</x:v>
      </x:c>
      <x:c r="E26" s="88" t="str">
        <x:v>DCM1032</x:v>
      </x:c>
      <x:c r="F26" s="165" t="str">
        <x:v>DCM1032</x:v>
      </x:c>
      <x:c r="G26" s="165" t="n">
        <x:f>COUNTIFS('Input_Template'!$B$2:$B$226,A26,'Input_Template'!$E$2:$E$226,E26)</x:f>
        <x:v>3</x:v>
      </x:c>
      <x:c r="H26" s="178" t="str">
        <x:v>General ENG pattern adapted</x:v>
      </x:c>
      <x:c r="I26" s="178" t="str">
        <x:v>Requirements Template_ENG.xlsx + current admin module database</x:v>
      </x:c>
      <x:c r="J26" s="165" t="n">
        <x:f>COUNTIFS('Input_Template'!$B$2:$B$226,A26,'Input_Template'!$E$2:$E$226,E26,'Input_Template'!$K$2:$K$226,"Online")+COUNTIFS('Input_Template'!$B$2:$B$226,A26,'Input_Template'!$E$2:$E$226,E26,'Input_Template'!$K$2:$K$226,"Asynchronous")</x:f>
        <x:v>0</x:v>
      </x:c>
      <x:c r="K26" s="165" t="n">
        <x:f>COUNTIFS('Input_Template'!$B$2:$B$226,A26,'Input_Template'!$E$2:$E$226,E26,'Input_Template'!$G$2:$G$226,"*lab*")</x:f>
        <x:v>0</x:v>
      </x:c>
      <x:c r="L26" s="165" t="n">
        <x:f>IF(G26=0,0,SUMIFS('Input_Template'!$N$2:$N$226,'Input_Template'!$B$2:$B$226,A26,'Input_Template'!$E$2:$E$226,E26)/G26)</x:f>
        <x:v>40</x:v>
      </x:c>
      <x:c r="M26" s="165" t="str">
        <x:f>IF(AND(G26&gt;=2,L26=D26),"PASS","REVIEW")</x:f>
        <x:v>PASS</x:v>
      </x:c>
      <x:c r="N26" s="165" t="str">
        <x:f>IF(K26=0,"No","REVIEW")</x:f>
        <x:v>No</x:v>
      </x:c>
    </x:row>
    <x:row r="27" ht="22" customHeight="1">
      <x:c r="A27" s="165" t="str">
        <x:v>CDM</x:v>
      </x:c>
      <x:c r="B27" s="165" t="n">
        <x:v>1</x:v>
      </x:c>
      <x:c r="C27" s="165" t="str">
        <x:v>CDM Y1 P1</x:v>
      </x:c>
      <x:c r="D27" s="165" t="n">
        <x:v>40</x:v>
      </x:c>
      <x:c r="E27" s="88" t="str">
        <x:v>DCM1033</x:v>
      </x:c>
      <x:c r="F27" s="165" t="str">
        <x:v>DCM1033</x:v>
      </x:c>
      <x:c r="G27" s="165" t="n">
        <x:f>COUNTIFS('Input_Template'!$B$2:$B$226,A27,'Input_Template'!$E$2:$E$226,E27)</x:f>
        <x:v>2</x:v>
      </x:c>
      <x:c r="H27" s="178" t="str">
        <x:v>General ENG pattern adapted</x:v>
      </x:c>
      <x:c r="I27" s="178" t="str">
        <x:v>Requirements Template_ENG.xlsx + current admin module database</x:v>
      </x:c>
      <x:c r="J27" s="165" t="n">
        <x:f>COUNTIFS('Input_Template'!$B$2:$B$226,A27,'Input_Template'!$E$2:$E$226,E27,'Input_Template'!$K$2:$K$226,"Online")+COUNTIFS('Input_Template'!$B$2:$B$226,A27,'Input_Template'!$E$2:$E$226,E27,'Input_Template'!$K$2:$K$226,"Asynchronous")</x:f>
        <x:v>0</x:v>
      </x:c>
      <x:c r="K27" s="165" t="n">
        <x:f>COUNTIFS('Input_Template'!$B$2:$B$226,A27,'Input_Template'!$E$2:$E$226,E27,'Input_Template'!$G$2:$G$226,"*lab*")</x:f>
        <x:v>0</x:v>
      </x:c>
      <x:c r="L27" s="165" t="n">
        <x:f>IF(G27=0,0,SUMIFS('Input_Template'!$N$2:$N$226,'Input_Template'!$B$2:$B$226,A27,'Input_Template'!$E$2:$E$226,E27)/G27)</x:f>
        <x:v>40</x:v>
      </x:c>
      <x:c r="M27" s="165" t="str">
        <x:f>IF(AND(G27&gt;=2,L27=D27),"PASS","REVIEW")</x:f>
        <x:v>PASS</x:v>
      </x:c>
      <x:c r="N27" s="165" t="str">
        <x:f>IF(K27=0,"No","REVIEW")</x:f>
        <x:v>No</x:v>
      </x:c>
    </x:row>
    <x:row r="28" ht="22" customHeight="1">
      <x:c r="A28" s="165" t="str">
        <x:v>CDM</x:v>
      </x:c>
      <x:c r="B28" s="165" t="n">
        <x:v>2</x:v>
      </x:c>
      <x:c r="C28" s="165" t="str">
        <x:v>CDM Y2 P1</x:v>
      </x:c>
      <x:c r="D28" s="165" t="n">
        <x:v>40</x:v>
      </x:c>
      <x:c r="E28" s="88" t="str">
        <x:v>DCM2001</x:v>
      </x:c>
      <x:c r="F28" s="165" t="str">
        <x:v>DCM2001</x:v>
      </x:c>
      <x:c r="G28" s="165" t="n">
        <x:f>COUNTIFS('Input_Template'!$B$2:$B$226,A28,'Input_Template'!$E$2:$E$226,E28)</x:f>
        <x:v>2</x:v>
      </x:c>
      <x:c r="H28" s="178" t="str">
        <x:v>General ENG pattern adapted</x:v>
      </x:c>
      <x:c r="I28" s="178" t="str">
        <x:v>Requirements Template_ENG.xlsx + current admin module database</x:v>
      </x:c>
      <x:c r="J28" s="165" t="n">
        <x:f>COUNTIFS('Input_Template'!$B$2:$B$226,A28,'Input_Template'!$E$2:$E$226,E28,'Input_Template'!$K$2:$K$226,"Online")+COUNTIFS('Input_Template'!$B$2:$B$226,A28,'Input_Template'!$E$2:$E$226,E28,'Input_Template'!$K$2:$K$226,"Asynchronous")</x:f>
        <x:v>0</x:v>
      </x:c>
      <x:c r="K28" s="165" t="n">
        <x:f>COUNTIFS('Input_Template'!$B$2:$B$226,A28,'Input_Template'!$E$2:$E$226,E28,'Input_Template'!$G$2:$G$226,"*lab*")</x:f>
        <x:v>0</x:v>
      </x:c>
      <x:c r="L28" s="165" t="n">
        <x:f>IF(G28=0,0,SUMIFS('Input_Template'!$N$2:$N$226,'Input_Template'!$B$2:$B$226,A28,'Input_Template'!$E$2:$E$226,E28)/G28)</x:f>
        <x:v>40</x:v>
      </x:c>
      <x:c r="M28" s="165" t="str">
        <x:f>IF(AND(G28&gt;=2,L28=D28),"PASS","REVIEW")</x:f>
        <x:v>PASS</x:v>
      </x:c>
      <x:c r="N28" s="165" t="str">
        <x:f>IF(K28=0,"No","REVIEW")</x:f>
        <x:v>No</x:v>
      </x:c>
    </x:row>
    <x:row r="29" ht="22" customHeight="1">
      <x:c r="A29" s="165" t="str">
        <x:v>CEG</x:v>
      </x:c>
      <x:c r="B29" s="165" t="n">
        <x:v>1</x:v>
      </x:c>
      <x:c r="C29" s="165" t="str">
        <x:v>CEG Y1 P1</x:v>
      </x:c>
      <x:c r="D29" s="165" t="n">
        <x:v>40</x:v>
      </x:c>
      <x:c r="E29" s="88" t="str">
        <x:v>CEG1007</x:v>
      </x:c>
      <x:c r="F29" s="165" t="str">
        <x:v>CEG1007</x:v>
      </x:c>
      <x:c r="G29" s="165" t="n">
        <x:f>COUNTIFS('Input_Template'!$B$2:$B$226,A29,'Input_Template'!$E$2:$E$226,E29)</x:f>
        <x:v>3</x:v>
      </x:c>
      <x:c r="H29" s="178" t="str">
        <x:v>Programme pattern adapted</x:v>
      </x:c>
      <x:c r="I29" s="178" t="str">
        <x:v>Requirements Template_ENG.xlsx</x:v>
      </x:c>
      <x:c r="J29" s="165" t="n">
        <x:f>COUNTIFS('Input_Template'!$B$2:$B$226,A29,'Input_Template'!$E$2:$E$226,E29,'Input_Template'!$K$2:$K$226,"Online")+COUNTIFS('Input_Template'!$B$2:$B$226,A29,'Input_Template'!$E$2:$E$226,E29,'Input_Template'!$K$2:$K$226,"Asynchronous")</x:f>
        <x:v>1</x:v>
      </x:c>
      <x:c r="K29" s="165" t="n">
        <x:f>COUNTIFS('Input_Template'!$B$2:$B$226,A29,'Input_Template'!$E$2:$E$226,E29,'Input_Template'!$G$2:$G$226,"*lab*")</x:f>
        <x:v>0</x:v>
      </x:c>
      <x:c r="L29" s="165" t="n">
        <x:f>IF(G29=0,0,SUMIFS('Input_Template'!$N$2:$N$226,'Input_Template'!$B$2:$B$226,A29,'Input_Template'!$E$2:$E$226,E29)/G29)</x:f>
        <x:v>40</x:v>
      </x:c>
      <x:c r="M29" s="165" t="str">
        <x:f>IF(AND(G29&gt;=2,L29=D29),"PASS","REVIEW")</x:f>
        <x:v>PASS</x:v>
      </x:c>
      <x:c r="N29" s="165" t="str">
        <x:f>IF(K29=0,"No","REVIEW")</x:f>
        <x:v>No</x:v>
      </x:c>
    </x:row>
    <x:row r="30" ht="22" customHeight="1">
      <x:c r="A30" s="165" t="str">
        <x:v>CEG</x:v>
      </x:c>
      <x:c r="B30" s="165" t="n">
        <x:v>1</x:v>
      </x:c>
      <x:c r="C30" s="165" t="str">
        <x:v>CEG Y1 P1</x:v>
      </x:c>
      <x:c r="D30" s="165" t="n">
        <x:v>40</x:v>
      </x:c>
      <x:c r="E30" s="88" t="str">
        <x:v>CEG1009</x:v>
      </x:c>
      <x:c r="F30" s="165" t="str">
        <x:v>CEG1009</x:v>
      </x:c>
      <x:c r="G30" s="165" t="n">
        <x:f>COUNTIFS('Input_Template'!$B$2:$B$226,A30,'Input_Template'!$E$2:$E$226,E30)</x:f>
        <x:v>2</x:v>
      </x:c>
      <x:c r="H30" s="178" t="str">
        <x:v>Programme pattern adapted</x:v>
      </x:c>
      <x:c r="I30" s="178" t="str">
        <x:v>Requirements Template_ENG.xlsx</x:v>
      </x:c>
      <x:c r="J30" s="165" t="n">
        <x:f>COUNTIFS('Input_Template'!$B$2:$B$226,A30,'Input_Template'!$E$2:$E$226,E30,'Input_Template'!$K$2:$K$226,"Online")+COUNTIFS('Input_Template'!$B$2:$B$226,A30,'Input_Template'!$E$2:$E$226,E30,'Input_Template'!$K$2:$K$226,"Asynchronous")</x:f>
        <x:v>0</x:v>
      </x:c>
      <x:c r="K30" s="165" t="n">
        <x:f>COUNTIFS('Input_Template'!$B$2:$B$226,A30,'Input_Template'!$E$2:$E$226,E30,'Input_Template'!$G$2:$G$226,"*lab*")</x:f>
        <x:v>0</x:v>
      </x:c>
      <x:c r="L30" s="165" t="n">
        <x:f>IF(G30=0,0,SUMIFS('Input_Template'!$N$2:$N$226,'Input_Template'!$B$2:$B$226,A30,'Input_Template'!$E$2:$E$226,E30)/G30)</x:f>
        <x:v>40</x:v>
      </x:c>
      <x:c r="M30" s="165" t="str">
        <x:f>IF(AND(G30&gt;=2,L30=D30),"PASS","REVIEW")</x:f>
        <x:v>PASS</x:v>
      </x:c>
      <x:c r="N30" s="165" t="str">
        <x:f>IF(K30=0,"No","REVIEW")</x:f>
        <x:v>No</x:v>
      </x:c>
    </x:row>
    <x:row r="31" ht="22" customHeight="1">
      <x:c r="A31" s="165" t="str">
        <x:v>CEG</x:v>
      </x:c>
      <x:c r="B31" s="165" t="n">
        <x:v>2</x:v>
      </x:c>
      <x:c r="C31" s="165" t="str">
        <x:v>CEG Y2 P1</x:v>
      </x:c>
      <x:c r="D31" s="165" t="n">
        <x:v>40</x:v>
      </x:c>
      <x:c r="E31" s="88" t="str">
        <x:v>CEG2005</x:v>
      </x:c>
      <x:c r="F31" s="165" t="str">
        <x:v>CEG2005</x:v>
      </x:c>
      <x:c r="G31" s="165" t="n">
        <x:f>COUNTIFS('Input_Template'!$B$2:$B$226,A31,'Input_Template'!$E$2:$E$226,E31)</x:f>
        <x:v>2</x:v>
      </x:c>
      <x:c r="H31" s="178" t="str">
        <x:v>Programme pattern adapted</x:v>
      </x:c>
      <x:c r="I31" s="178" t="str">
        <x:v>Requirements Template_ENG.xlsx</x:v>
      </x:c>
      <x:c r="J31" s="165" t="n">
        <x:f>COUNTIFS('Input_Template'!$B$2:$B$226,A31,'Input_Template'!$E$2:$E$226,E31,'Input_Template'!$K$2:$K$226,"Online")+COUNTIFS('Input_Template'!$B$2:$B$226,A31,'Input_Template'!$E$2:$E$226,E31,'Input_Template'!$K$2:$K$226,"Asynchronous")</x:f>
        <x:v>0</x:v>
      </x:c>
      <x:c r="K31" s="165" t="n">
        <x:f>COUNTIFS('Input_Template'!$B$2:$B$226,A31,'Input_Template'!$E$2:$E$226,E31,'Input_Template'!$G$2:$G$226,"*lab*")</x:f>
        <x:v>0</x:v>
      </x:c>
      <x:c r="L31" s="165" t="n">
        <x:f>IF(G31=0,0,SUMIFS('Input_Template'!$N$2:$N$226,'Input_Template'!$B$2:$B$226,A31,'Input_Template'!$E$2:$E$226,E31)/G31)</x:f>
        <x:v>40</x:v>
      </x:c>
      <x:c r="M31" s="165" t="str">
        <x:f>IF(AND(G31&gt;=2,L31=D31),"PASS","REVIEW")</x:f>
        <x:v>PASS</x:v>
      </x:c>
      <x:c r="N31" s="165" t="str">
        <x:f>IF(K31=0,"No","REVIEW")</x:f>
        <x:v>No</x:v>
      </x:c>
    </x:row>
    <x:row r="32" ht="22" customHeight="1">
      <x:c r="A32" s="165" t="str">
        <x:v>CEG</x:v>
      </x:c>
      <x:c r="B32" s="165" t="n">
        <x:v>2</x:v>
      </x:c>
      <x:c r="C32" s="165" t="str">
        <x:v>CEG Y2 P1</x:v>
      </x:c>
      <x:c r="D32" s="165" t="n">
        <x:v>40</x:v>
      </x:c>
      <x:c r="E32" s="88" t="str">
        <x:v>CEG2006</x:v>
      </x:c>
      <x:c r="F32" s="165" t="str">
        <x:v>CEG2006</x:v>
      </x:c>
      <x:c r="G32" s="165" t="n">
        <x:f>COUNTIFS('Input_Template'!$B$2:$B$226,A32,'Input_Template'!$E$2:$E$226,E32)</x:f>
        <x:v>2</x:v>
      </x:c>
      <x:c r="H32" s="178" t="str">
        <x:v>Programme pattern adapted</x:v>
      </x:c>
      <x:c r="I32" s="178" t="str">
        <x:v>Requirements Template_ENG.xlsx</x:v>
      </x:c>
      <x:c r="J32" s="165" t="n">
        <x:f>COUNTIFS('Input_Template'!$B$2:$B$226,A32,'Input_Template'!$E$2:$E$226,E32,'Input_Template'!$K$2:$K$226,"Online")+COUNTIFS('Input_Template'!$B$2:$B$226,A32,'Input_Template'!$E$2:$E$226,E32,'Input_Template'!$K$2:$K$226,"Asynchronous")</x:f>
        <x:v>0</x:v>
      </x:c>
      <x:c r="K32" s="165" t="n">
        <x:f>COUNTIFS('Input_Template'!$B$2:$B$226,A32,'Input_Template'!$E$2:$E$226,E32,'Input_Template'!$G$2:$G$226,"*lab*")</x:f>
        <x:v>0</x:v>
      </x:c>
      <x:c r="L32" s="165" t="n">
        <x:f>IF(G32=0,0,SUMIFS('Input_Template'!$N$2:$N$226,'Input_Template'!$B$2:$B$226,A32,'Input_Template'!$E$2:$E$226,E32)/G32)</x:f>
        <x:v>40</x:v>
      </x:c>
      <x:c r="M32" s="165" t="str">
        <x:f>IF(AND(G32&gt;=2,L32=D32),"PASS","REVIEW")</x:f>
        <x:v>PASS</x:v>
      </x:c>
      <x:c r="N32" s="165" t="str">
        <x:f>IF(K32=0,"No","REVIEW")</x:f>
        <x:v>No</x:v>
      </x:c>
    </x:row>
    <x:row r="33" ht="22" customHeight="1">
      <x:c r="A33" s="165" t="str">
        <x:v>CEG</x:v>
      </x:c>
      <x:c r="B33" s="165" t="n">
        <x:v>2</x:v>
      </x:c>
      <x:c r="C33" s="165" t="str">
        <x:v>CEG Y2 P1</x:v>
      </x:c>
      <x:c r="D33" s="165" t="n">
        <x:v>40</x:v>
      </x:c>
      <x:c r="E33" s="88" t="str">
        <x:v>CEG2009</x:v>
      </x:c>
      <x:c r="F33" s="165" t="str">
        <x:v>CEG2009</x:v>
      </x:c>
      <x:c r="G33" s="165" t="n">
        <x:f>COUNTIFS('Input_Template'!$B$2:$B$226,A33,'Input_Template'!$E$2:$E$226,E33)</x:f>
        <x:v>2</x:v>
      </x:c>
      <x:c r="H33" s="178" t="str">
        <x:v>Programme pattern adapted</x:v>
      </x:c>
      <x:c r="I33" s="178" t="str">
        <x:v>Requirements Template_ENG.xlsx</x:v>
      </x:c>
      <x:c r="J33" s="165" t="n">
        <x:f>COUNTIFS('Input_Template'!$B$2:$B$226,A33,'Input_Template'!$E$2:$E$226,E33,'Input_Template'!$K$2:$K$226,"Online")+COUNTIFS('Input_Template'!$B$2:$B$226,A33,'Input_Template'!$E$2:$E$226,E33,'Input_Template'!$K$2:$K$226,"Asynchronous")</x:f>
        <x:v>0</x:v>
      </x:c>
      <x:c r="K33" s="165" t="n">
        <x:f>COUNTIFS('Input_Template'!$B$2:$B$226,A33,'Input_Template'!$E$2:$E$226,E33,'Input_Template'!$G$2:$G$226,"*lab*")</x:f>
        <x:v>0</x:v>
      </x:c>
      <x:c r="L33" s="165" t="n">
        <x:f>IF(G33=0,0,SUMIFS('Input_Template'!$N$2:$N$226,'Input_Template'!$B$2:$B$226,A33,'Input_Template'!$E$2:$E$226,E33)/G33)</x:f>
        <x:v>40</x:v>
      </x:c>
      <x:c r="M33" s="165" t="str">
        <x:f>IF(AND(G33&gt;=2,L33=D33),"PASS","REVIEW")</x:f>
        <x:v>PASS</x:v>
      </x:c>
      <x:c r="N33" s="165" t="str">
        <x:f>IF(K33=0,"No","REVIEW")</x:f>
        <x:v>No</x:v>
      </x:c>
    </x:row>
    <x:row r="34" ht="22" customHeight="1">
      <x:c r="A34" s="165" t="str">
        <x:v>CVE</x:v>
      </x:c>
      <x:c r="B34" s="165" t="n">
        <x:v>1</x:v>
      </x:c>
      <x:c r="C34" s="165" t="str">
        <x:v>CVE Y1 P1</x:v>
      </x:c>
      <x:c r="D34" s="165" t="n">
        <x:v>40</x:v>
      </x:c>
      <x:c r="E34" s="88" t="str">
        <x:v>CVE1222</x:v>
      </x:c>
      <x:c r="F34" s="165" t="str">
        <x:v>CVE1222</x:v>
      </x:c>
      <x:c r="G34" s="165" t="n">
        <x:f>COUNTIFS('Input_Template'!$B$2:$B$226,A34,'Input_Template'!$E$2:$E$226,E34)</x:f>
        <x:v>2</x:v>
      </x:c>
      <x:c r="H34" s="178" t="str">
        <x:v>Programme pattern adapted</x:v>
      </x:c>
      <x:c r="I34" s="178" t="str">
        <x:v>Requirements Template CVE 5 May 25 -revised.xlsx</x:v>
      </x:c>
      <x:c r="J34" s="165" t="n">
        <x:f>COUNTIFS('Input_Template'!$B$2:$B$226,A34,'Input_Template'!$E$2:$E$226,E34,'Input_Template'!$K$2:$K$226,"Online")+COUNTIFS('Input_Template'!$B$2:$B$226,A34,'Input_Template'!$E$2:$E$226,E34,'Input_Template'!$K$2:$K$226,"Asynchronous")</x:f>
        <x:v>1</x:v>
      </x:c>
      <x:c r="K34" s="165" t="n">
        <x:f>COUNTIFS('Input_Template'!$B$2:$B$226,A34,'Input_Template'!$E$2:$E$226,E34,'Input_Template'!$G$2:$G$226,"*lab*")</x:f>
        <x:v>0</x:v>
      </x:c>
      <x:c r="L34" s="165" t="n">
        <x:f>IF(G34=0,0,SUMIFS('Input_Template'!$N$2:$N$226,'Input_Template'!$B$2:$B$226,A34,'Input_Template'!$E$2:$E$226,E34)/G34)</x:f>
        <x:v>40</x:v>
      </x:c>
      <x:c r="M34" s="165" t="str">
        <x:f>IF(AND(G34&gt;=2,L34=D34),"PASS","REVIEW")</x:f>
        <x:v>PASS</x:v>
      </x:c>
      <x:c r="N34" s="165" t="str">
        <x:f>IF(K34=0,"No","REVIEW")</x:f>
        <x:v>No</x:v>
      </x:c>
    </x:row>
    <x:row r="35" ht="22" customHeight="1">
      <x:c r="A35" s="165" t="str">
        <x:v>CVE</x:v>
      </x:c>
      <x:c r="B35" s="165" t="n">
        <x:v>1</x:v>
      </x:c>
      <x:c r="C35" s="165" t="str">
        <x:v>CVE Y1 P1</x:v>
      </x:c>
      <x:c r="D35" s="165" t="n">
        <x:v>40</x:v>
      </x:c>
      <x:c r="E35" s="88" t="str">
        <x:v>CVE1242</x:v>
      </x:c>
      <x:c r="F35" s="165" t="str">
        <x:v>CVE1242</x:v>
      </x:c>
      <x:c r="G35" s="165" t="n">
        <x:f>COUNTIFS('Input_Template'!$B$2:$B$226,A35,'Input_Template'!$E$2:$E$226,E35)</x:f>
        <x:v>3</x:v>
      </x:c>
      <x:c r="H35" s="178" t="str">
        <x:v>Programme pattern adapted</x:v>
      </x:c>
      <x:c r="I35" s="178" t="str">
        <x:v>Requirements Template CVE 5 May 25 -revised.xlsx</x:v>
      </x:c>
      <x:c r="J35" s="165" t="n">
        <x:f>COUNTIFS('Input_Template'!$B$2:$B$226,A35,'Input_Template'!$E$2:$E$226,E35,'Input_Template'!$K$2:$K$226,"Online")+COUNTIFS('Input_Template'!$B$2:$B$226,A35,'Input_Template'!$E$2:$E$226,E35,'Input_Template'!$K$2:$K$226,"Asynchronous")</x:f>
        <x:v>0</x:v>
      </x:c>
      <x:c r="K35" s="165" t="n">
        <x:f>COUNTIFS('Input_Template'!$B$2:$B$226,A35,'Input_Template'!$E$2:$E$226,E35,'Input_Template'!$G$2:$G$226,"*lab*")</x:f>
        <x:v>0</x:v>
      </x:c>
      <x:c r="L35" s="165" t="n">
        <x:f>IF(G35=0,0,SUMIFS('Input_Template'!$N$2:$N$226,'Input_Template'!$B$2:$B$226,A35,'Input_Template'!$E$2:$E$226,E35)/G35)</x:f>
        <x:v>40</x:v>
      </x:c>
      <x:c r="M35" s="165" t="str">
        <x:f>IF(AND(G35&gt;=2,L35=D35),"PASS","REVIEW")</x:f>
        <x:v>PASS</x:v>
      </x:c>
      <x:c r="N35" s="165" t="str">
        <x:f>IF(K35=0,"No","REVIEW")</x:f>
        <x:v>No</x:v>
      </x:c>
    </x:row>
    <x:row r="36" ht="22" customHeight="1">
      <x:c r="A36" s="165" t="str">
        <x:v>CVE</x:v>
      </x:c>
      <x:c r="B36" s="165" t="n">
        <x:v>1</x:v>
      </x:c>
      <x:c r="C36" s="165" t="str">
        <x:v>CVE Y1 P1</x:v>
      </x:c>
      <x:c r="D36" s="165" t="n">
        <x:v>40</x:v>
      </x:c>
      <x:c r="E36" s="88" t="str">
        <x:v>CVE1261</x:v>
      </x:c>
      <x:c r="F36" s="165" t="str">
        <x:v>CVE1261</x:v>
      </x:c>
      <x:c r="G36" s="165" t="n">
        <x:f>COUNTIFS('Input_Template'!$B$2:$B$226,A36,'Input_Template'!$E$2:$E$226,E36)</x:f>
        <x:v>2</x:v>
      </x:c>
      <x:c r="H36" s="178" t="str">
        <x:v>Programme pattern adapted</x:v>
      </x:c>
      <x:c r="I36" s="178" t="str">
        <x:v>Requirements Template CVE 5 May 25 -revised.xlsx</x:v>
      </x:c>
      <x:c r="J36" s="165" t="n">
        <x:f>COUNTIFS('Input_Template'!$B$2:$B$226,A36,'Input_Template'!$E$2:$E$226,E36,'Input_Template'!$K$2:$K$226,"Online")+COUNTIFS('Input_Template'!$B$2:$B$226,A36,'Input_Template'!$E$2:$E$226,E36,'Input_Template'!$K$2:$K$226,"Asynchronous")</x:f>
        <x:v>0</x:v>
      </x:c>
      <x:c r="K36" s="165" t="n">
        <x:f>COUNTIFS('Input_Template'!$B$2:$B$226,A36,'Input_Template'!$E$2:$E$226,E36,'Input_Template'!$G$2:$G$226,"*lab*")</x:f>
        <x:v>0</x:v>
      </x:c>
      <x:c r="L36" s="165" t="n">
        <x:f>IF(G36=0,0,SUMIFS('Input_Template'!$N$2:$N$226,'Input_Template'!$B$2:$B$226,A36,'Input_Template'!$E$2:$E$226,E36)/G36)</x:f>
        <x:v>40</x:v>
      </x:c>
      <x:c r="M36" s="165" t="str">
        <x:f>IF(AND(G36&gt;=2,L36=D36),"PASS","REVIEW")</x:f>
        <x:v>PASS</x:v>
      </x:c>
      <x:c r="N36" s="165" t="str">
        <x:f>IF(K36=0,"No","REVIEW")</x:f>
        <x:v>No</x:v>
      </x:c>
    </x:row>
    <x:row r="37" ht="22" customHeight="1">
      <x:c r="A37" s="165" t="str">
        <x:v>CVE</x:v>
      </x:c>
      <x:c r="B37" s="165" t="n">
        <x:v>3</x:v>
      </x:c>
      <x:c r="C37" s="165" t="str">
        <x:v>CVE Y3 P1</x:v>
      </x:c>
      <x:c r="D37" s="165" t="n">
        <x:v>40</x:v>
      </x:c>
      <x:c r="E37" s="88" t="str">
        <x:v>CVE3221</x:v>
      </x:c>
      <x:c r="F37" s="165" t="str">
        <x:v>CVE3221</x:v>
      </x:c>
      <x:c r="G37" s="165" t="n">
        <x:f>COUNTIFS('Input_Template'!$B$2:$B$226,A37,'Input_Template'!$E$2:$E$226,E37)</x:f>
        <x:v>2</x:v>
      </x:c>
      <x:c r="H37" s="178" t="str">
        <x:v>Programme pattern adapted</x:v>
      </x:c>
      <x:c r="I37" s="178" t="str">
        <x:v>Requirements Template CVE 5 May 25 -revised.xlsx</x:v>
      </x:c>
      <x:c r="J37" s="165" t="n">
        <x:f>COUNTIFS('Input_Template'!$B$2:$B$226,A37,'Input_Template'!$E$2:$E$226,E37,'Input_Template'!$K$2:$K$226,"Online")+COUNTIFS('Input_Template'!$B$2:$B$226,A37,'Input_Template'!$E$2:$E$226,E37,'Input_Template'!$K$2:$K$226,"Asynchronous")</x:f>
        <x:v>0</x:v>
      </x:c>
      <x:c r="K37" s="165" t="n">
        <x:f>COUNTIFS('Input_Template'!$B$2:$B$226,A37,'Input_Template'!$E$2:$E$226,E37,'Input_Template'!$G$2:$G$226,"*lab*")</x:f>
        <x:v>0</x:v>
      </x:c>
      <x:c r="L37" s="165" t="n">
        <x:f>IF(G37=0,0,SUMIFS('Input_Template'!$N$2:$N$226,'Input_Template'!$B$2:$B$226,A37,'Input_Template'!$E$2:$E$226,E37)/G37)</x:f>
        <x:v>40</x:v>
      </x:c>
      <x:c r="M37" s="165" t="str">
        <x:f>IF(AND(G37&gt;=2,L37=D37),"PASS","REVIEW")</x:f>
        <x:v>PASS</x:v>
      </x:c>
      <x:c r="N37" s="165" t="str">
        <x:f>IF(K37=0,"No","REVIEW")</x:f>
        <x:v>No</x:v>
      </x:c>
    </x:row>
    <x:row r="38" ht="22" customHeight="1">
      <x:c r="A38" s="165" t="str">
        <x:v>CVE</x:v>
      </x:c>
      <x:c r="B38" s="165" t="n">
        <x:v>3</x:v>
      </x:c>
      <x:c r="C38" s="165" t="str">
        <x:v>CVE Y3 P1</x:v>
      </x:c>
      <x:c r="D38" s="165" t="n">
        <x:v>40</x:v>
      </x:c>
      <x:c r="E38" s="88" t="str">
        <x:v>CVE3222</x:v>
      </x:c>
      <x:c r="F38" s="165" t="str">
        <x:v>CVE3222</x:v>
      </x:c>
      <x:c r="G38" s="165" t="n">
        <x:f>COUNTIFS('Input_Template'!$B$2:$B$226,A38,'Input_Template'!$E$2:$E$226,E38)</x:f>
        <x:v>2</x:v>
      </x:c>
      <x:c r="H38" s="178" t="str">
        <x:v>Programme pattern adapted</x:v>
      </x:c>
      <x:c r="I38" s="178" t="str">
        <x:v>Requirements Template CVE 5 May 25 -revised.xlsx</x:v>
      </x:c>
      <x:c r="J38" s="165" t="n">
        <x:f>COUNTIFS('Input_Template'!$B$2:$B$226,A38,'Input_Template'!$E$2:$E$226,E38,'Input_Template'!$K$2:$K$226,"Online")+COUNTIFS('Input_Template'!$B$2:$B$226,A38,'Input_Template'!$E$2:$E$226,E38,'Input_Template'!$K$2:$K$226,"Asynchronous")</x:f>
        <x:v>0</x:v>
      </x:c>
      <x:c r="K38" s="165" t="n">
        <x:f>COUNTIFS('Input_Template'!$B$2:$B$226,A38,'Input_Template'!$E$2:$E$226,E38,'Input_Template'!$G$2:$G$226,"*lab*")</x:f>
        <x:v>0</x:v>
      </x:c>
      <x:c r="L38" s="165" t="n">
        <x:f>IF(G38=0,0,SUMIFS('Input_Template'!$N$2:$N$226,'Input_Template'!$B$2:$B$226,A38,'Input_Template'!$E$2:$E$226,E38)/G38)</x:f>
        <x:v>40</x:v>
      </x:c>
      <x:c r="M38" s="165" t="str">
        <x:f>IF(AND(G38&gt;=2,L38=D38),"PASS","REVIEW")</x:f>
        <x:v>PASS</x:v>
      </x:c>
      <x:c r="N38" s="165" t="str">
        <x:f>IF(K38=0,"No","REVIEW")</x:f>
        <x:v>No</x:v>
      </x:c>
    </x:row>
    <x:row r="39" ht="22" customHeight="1">
      <x:c r="A39" s="165" t="str">
        <x:v>DSC</x:v>
      </x:c>
      <x:c r="B39" s="165" t="n">
        <x:v>2</x:v>
      </x:c>
      <x:c r="C39" s="165" t="str">
        <x:v>DSC Y2 P1</x:v>
      </x:c>
      <x:c r="D39" s="165" t="n">
        <x:v>40</x:v>
      </x:c>
      <x:c r="E39" s="88" t="str">
        <x:v>DSC2203</x:v>
      </x:c>
      <x:c r="F39" s="165" t="str">
        <x:v>DSC2203</x:v>
      </x:c>
      <x:c r="G39" s="165" t="n">
        <x:f>COUNTIFS('Input_Template'!$B$2:$B$226,A39,'Input_Template'!$E$2:$E$226,E39)</x:f>
        <x:v>2</x:v>
      </x:c>
      <x:c r="H39" s="178" t="str">
        <x:v>Programme pattern adapted</x:v>
      </x:c>
      <x:c r="I39" s="178" t="str">
        <x:v>2510_DSC.xlsx</x:v>
      </x:c>
      <x:c r="J39" s="165" t="n">
        <x:f>COUNTIFS('Input_Template'!$B$2:$B$226,A39,'Input_Template'!$E$2:$E$226,E39,'Input_Template'!$K$2:$K$226,"Online")+COUNTIFS('Input_Template'!$B$2:$B$226,A39,'Input_Template'!$E$2:$E$226,E39,'Input_Template'!$K$2:$K$226,"Asynchronous")</x:f>
        <x:v>1</x:v>
      </x:c>
      <x:c r="K39" s="165" t="n">
        <x:f>COUNTIFS('Input_Template'!$B$2:$B$226,A39,'Input_Template'!$E$2:$E$226,E39,'Input_Template'!$G$2:$G$226,"*lab*")</x:f>
        <x:v>0</x:v>
      </x:c>
      <x:c r="L39" s="165" t="n">
        <x:f>IF(G39=0,0,SUMIFS('Input_Template'!$N$2:$N$226,'Input_Template'!$B$2:$B$226,A39,'Input_Template'!$E$2:$E$226,E39)/G39)</x:f>
        <x:v>40</x:v>
      </x:c>
      <x:c r="M39" s="165" t="str">
        <x:f>IF(AND(G39&gt;=2,L39=D39),"PASS","REVIEW")</x:f>
        <x:v>PASS</x:v>
      </x:c>
      <x:c r="N39" s="165" t="str">
        <x:f>IF(K39=0,"No","REVIEW")</x:f>
        <x:v>No</x:v>
      </x:c>
    </x:row>
    <x:row r="40" ht="22" customHeight="1">
      <x:c r="A40" s="165" t="str">
        <x:v>DSC</x:v>
      </x:c>
      <x:c r="B40" s="165" t="n">
        <x:v>3</x:v>
      </x:c>
      <x:c r="C40" s="165" t="str">
        <x:v>DSC Y3 P1</x:v>
      </x:c>
      <x:c r="D40" s="165" t="n">
        <x:v>40</x:v>
      </x:c>
      <x:c r="E40" s="88" t="str">
        <x:v>DSC3201</x:v>
      </x:c>
      <x:c r="F40" s="165" t="str">
        <x:v>DSC3201</x:v>
      </x:c>
      <x:c r="G40" s="165" t="n">
        <x:f>COUNTIFS('Input_Template'!$B$2:$B$226,A40,'Input_Template'!$E$2:$E$226,E40)</x:f>
        <x:v>2</x:v>
      </x:c>
      <x:c r="H40" s="178" t="str">
        <x:v>Programme pattern adapted</x:v>
      </x:c>
      <x:c r="I40" s="178" t="str">
        <x:v>2510_DSC.xlsx; Requirements Template_ENG.xlsx + current admin module database</x:v>
      </x:c>
      <x:c r="J40" s="165" t="n">
        <x:f>COUNTIFS('Input_Template'!$B$2:$B$226,A40,'Input_Template'!$E$2:$E$226,E40,'Input_Template'!$K$2:$K$226,"Online")+COUNTIFS('Input_Template'!$B$2:$B$226,A40,'Input_Template'!$E$2:$E$226,E40,'Input_Template'!$K$2:$K$226,"Asynchronous")</x:f>
        <x:v>0</x:v>
      </x:c>
      <x:c r="K40" s="165" t="n">
        <x:f>COUNTIFS('Input_Template'!$B$2:$B$226,A40,'Input_Template'!$E$2:$E$226,E40,'Input_Template'!$G$2:$G$226,"*lab*")</x:f>
        <x:v>0</x:v>
      </x:c>
      <x:c r="L40" s="165" t="n">
        <x:f>IF(G40=0,0,SUMIFS('Input_Template'!$N$2:$N$226,'Input_Template'!$B$2:$B$226,A40,'Input_Template'!$E$2:$E$226,E40)/G40)</x:f>
        <x:v>40</x:v>
      </x:c>
      <x:c r="M40" s="165" t="str">
        <x:f>IF(AND(G40&gt;=2,L40=D40),"PASS","REVIEW")</x:f>
        <x:v>PASS</x:v>
      </x:c>
      <x:c r="N40" s="165" t="str">
        <x:f>IF(K40=0,"No","REVIEW")</x:f>
        <x:v>No</x:v>
      </x:c>
    </x:row>
    <x:row r="41" ht="22" customHeight="1">
      <x:c r="A41" s="165" t="str">
        <x:v>DSC</x:v>
      </x:c>
      <x:c r="B41" s="165" t="n">
        <x:v>3</x:v>
      </x:c>
      <x:c r="C41" s="165" t="str">
        <x:v>DSC Y3 P1</x:v>
      </x:c>
      <x:c r="D41" s="165" t="n">
        <x:v>40</x:v>
      </x:c>
      <x:c r="E41" s="88" t="str">
        <x:v>DSC3202</x:v>
      </x:c>
      <x:c r="F41" s="165" t="str">
        <x:v>DSC3202</x:v>
      </x:c>
      <x:c r="G41" s="165" t="n">
        <x:f>COUNTIFS('Input_Template'!$B$2:$B$226,A41,'Input_Template'!$E$2:$E$226,E41)</x:f>
        <x:v>3</x:v>
      </x:c>
      <x:c r="H41" s="178" t="str">
        <x:v>Programme pattern adapted</x:v>
      </x:c>
      <x:c r="I41" s="178" t="str">
        <x:v>2510_DSC.xlsx; Requirements Template_ENG.xlsx + current admin module database</x:v>
      </x:c>
      <x:c r="J41" s="165" t="n">
        <x:f>COUNTIFS('Input_Template'!$B$2:$B$226,A41,'Input_Template'!$E$2:$E$226,E41,'Input_Template'!$K$2:$K$226,"Online")+COUNTIFS('Input_Template'!$B$2:$B$226,A41,'Input_Template'!$E$2:$E$226,E41,'Input_Template'!$K$2:$K$226,"Asynchronous")</x:f>
        <x:v>0</x:v>
      </x:c>
      <x:c r="K41" s="165" t="n">
        <x:f>COUNTIFS('Input_Template'!$B$2:$B$226,A41,'Input_Template'!$E$2:$E$226,E41,'Input_Template'!$G$2:$G$226,"*lab*")</x:f>
        <x:v>0</x:v>
      </x:c>
      <x:c r="L41" s="165" t="n">
        <x:f>IF(G41=0,0,SUMIFS('Input_Template'!$N$2:$N$226,'Input_Template'!$B$2:$B$226,A41,'Input_Template'!$E$2:$E$226,E41)/G41)</x:f>
        <x:v>40</x:v>
      </x:c>
      <x:c r="M41" s="165" t="str">
        <x:f>IF(AND(G41&gt;=2,L41=D41),"PASS","REVIEW")</x:f>
        <x:v>PASS</x:v>
      </x:c>
      <x:c r="N41" s="165" t="str">
        <x:f>IF(K41=0,"No","REVIEW")</x:f>
        <x:v>No</x:v>
      </x:c>
    </x:row>
    <x:row r="42" ht="22" customHeight="1">
      <x:c r="A42" s="165" t="str">
        <x:v>DSC</x:v>
      </x:c>
      <x:c r="B42" s="165" t="n">
        <x:v>3</x:v>
      </x:c>
      <x:c r="C42" s="165" t="str">
        <x:v>DSC Y3 P1</x:v>
      </x:c>
      <x:c r="D42" s="165" t="n">
        <x:v>40</x:v>
      </x:c>
      <x:c r="E42" s="88" t="str">
        <x:v>DSC3302</x:v>
      </x:c>
      <x:c r="F42" s="165" t="str">
        <x:v>DSC3302</x:v>
      </x:c>
      <x:c r="G42" s="165" t="n">
        <x:f>COUNTIFS('Input_Template'!$B$2:$B$226,A42,'Input_Template'!$E$2:$E$226,E42)</x:f>
        <x:v>2</x:v>
      </x:c>
      <x:c r="H42" s="178" t="str">
        <x:v>Programme pattern adapted</x:v>
      </x:c>
      <x:c r="I42" s="178" t="str">
        <x:v>2510_DSC.xlsx</x:v>
      </x:c>
      <x:c r="J42" s="165" t="n">
        <x:f>COUNTIFS('Input_Template'!$B$2:$B$226,A42,'Input_Template'!$E$2:$E$226,E42,'Input_Template'!$K$2:$K$226,"Online")+COUNTIFS('Input_Template'!$B$2:$B$226,A42,'Input_Template'!$E$2:$E$226,E42,'Input_Template'!$K$2:$K$226,"Asynchronous")</x:f>
        <x:v>0</x:v>
      </x:c>
      <x:c r="K42" s="165" t="n">
        <x:f>COUNTIFS('Input_Template'!$B$2:$B$226,A42,'Input_Template'!$E$2:$E$226,E42,'Input_Template'!$G$2:$G$226,"*lab*")</x:f>
        <x:v>0</x:v>
      </x:c>
      <x:c r="L42" s="165" t="n">
        <x:f>IF(G42=0,0,SUMIFS('Input_Template'!$N$2:$N$226,'Input_Template'!$B$2:$B$226,A42,'Input_Template'!$E$2:$E$226,E42)/G42)</x:f>
        <x:v>40</x:v>
      </x:c>
      <x:c r="M42" s="165" t="str">
        <x:f>IF(AND(G42&gt;=2,L42=D42),"PASS","REVIEW")</x:f>
        <x:v>PASS</x:v>
      </x:c>
      <x:c r="N42" s="165" t="str">
        <x:f>IF(K42=0,"No","REVIEW")</x:f>
        <x:v>No</x:v>
      </x:c>
    </x:row>
    <x:row r="43" ht="22" customHeight="1">
      <x:c r="A43" s="165" t="str">
        <x:v>DSC</x:v>
      </x:c>
      <x:c r="B43" s="165" t="n">
        <x:v>3</x:v>
      </x:c>
      <x:c r="C43" s="165" t="str">
        <x:v>DSC Y3 P1</x:v>
      </x:c>
      <x:c r="D43" s="165" t="n">
        <x:v>40</x:v>
      </x:c>
      <x:c r="E43" s="88" t="str">
        <x:v>DSC3303</x:v>
      </x:c>
      <x:c r="F43" s="165" t="str">
        <x:v>DSC3303</x:v>
      </x:c>
      <x:c r="G43" s="165" t="n">
        <x:f>COUNTIFS('Input_Template'!$B$2:$B$226,A43,'Input_Template'!$E$2:$E$226,E43)</x:f>
        <x:v>2</x:v>
      </x:c>
      <x:c r="H43" s="178" t="str">
        <x:v>Programme pattern adapted</x:v>
      </x:c>
      <x:c r="I43" s="178" t="str">
        <x:v>2510_DSC.xlsx; Requirements Template_ENG.xlsx + current admin module database</x:v>
      </x:c>
      <x:c r="J43" s="165" t="n">
        <x:f>COUNTIFS('Input_Template'!$B$2:$B$226,A43,'Input_Template'!$E$2:$E$226,E43,'Input_Template'!$K$2:$K$226,"Online")+COUNTIFS('Input_Template'!$B$2:$B$226,A43,'Input_Template'!$E$2:$E$226,E43,'Input_Template'!$K$2:$K$226,"Asynchronous")</x:f>
        <x:v>0</x:v>
      </x:c>
      <x:c r="K43" s="165" t="n">
        <x:f>COUNTIFS('Input_Template'!$B$2:$B$226,A43,'Input_Template'!$E$2:$E$226,E43,'Input_Template'!$G$2:$G$226,"*lab*")</x:f>
        <x:v>0</x:v>
      </x:c>
      <x:c r="L43" s="165" t="n">
        <x:f>IF(G43=0,0,SUMIFS('Input_Template'!$N$2:$N$226,'Input_Template'!$B$2:$B$226,A43,'Input_Template'!$E$2:$E$226,E43)/G43)</x:f>
        <x:v>40</x:v>
      </x:c>
      <x:c r="M43" s="165" t="str">
        <x:f>IF(AND(G43&gt;=2,L43=D43),"PASS","REVIEW")</x:f>
        <x:v>PASS</x:v>
      </x:c>
      <x:c r="N43" s="165" t="str">
        <x:f>IF(K43=0,"No","REVIEW")</x:f>
        <x:v>No</x:v>
      </x:c>
    </x:row>
    <x:row r="44" ht="22" customHeight="1">
      <x:c r="A44" s="165" t="str">
        <x:v>EDE</x:v>
      </x:c>
      <x:c r="B44" s="165" t="n">
        <x:v>1</x:v>
      </x:c>
      <x:c r="C44" s="165" t="str">
        <x:v>EDE Y1 P1</x:v>
      </x:c>
      <x:c r="D44" s="165" t="n">
        <x:v>40</x:v>
      </x:c>
      <x:c r="E44" s="88" t="str">
        <x:v>EDE1021</x:v>
      </x:c>
      <x:c r="F44" s="165" t="str">
        <x:v>EDE1021</x:v>
      </x:c>
      <x:c r="G44" s="165" t="n">
        <x:f>COUNTIFS('Input_Template'!$B$2:$B$226,A44,'Input_Template'!$E$2:$E$226,E44)</x:f>
        <x:v>3</x:v>
      </x:c>
      <x:c r="H44" s="178" t="str">
        <x:v>Programme pattern adapted</x:v>
      </x:c>
      <x:c r="I44" s="178" t="str">
        <x:v>EDE Requirements Template_20 May 2025_2510 _V.xlsx</x:v>
      </x:c>
      <x:c r="J44" s="165" t="n">
        <x:f>COUNTIFS('Input_Template'!$B$2:$B$226,A44,'Input_Template'!$E$2:$E$226,E44,'Input_Template'!$K$2:$K$226,"Online")+COUNTIFS('Input_Template'!$B$2:$B$226,A44,'Input_Template'!$E$2:$E$226,E44,'Input_Template'!$K$2:$K$226,"Asynchronous")</x:f>
        <x:v>0</x:v>
      </x:c>
      <x:c r="K44" s="165" t="n">
        <x:f>COUNTIFS('Input_Template'!$B$2:$B$226,A44,'Input_Template'!$E$2:$E$226,E44,'Input_Template'!$G$2:$G$226,"*lab*")</x:f>
        <x:v>0</x:v>
      </x:c>
      <x:c r="L44" s="165" t="n">
        <x:f>IF(G44=0,0,SUMIFS('Input_Template'!$N$2:$N$226,'Input_Template'!$B$2:$B$226,A44,'Input_Template'!$E$2:$E$226,E44)/G44)</x:f>
        <x:v>40</x:v>
      </x:c>
      <x:c r="M44" s="165" t="str">
        <x:f>IF(AND(G44&gt;=2,L44=D44),"PASS","REVIEW")</x:f>
        <x:v>PASS</x:v>
      </x:c>
      <x:c r="N44" s="165" t="str">
        <x:f>IF(K44=0,"No","REVIEW")</x:f>
        <x:v>No</x:v>
      </x:c>
    </x:row>
    <x:row r="45" ht="22" customHeight="1">
      <x:c r="A45" s="165" t="str">
        <x:v>EDE</x:v>
      </x:c>
      <x:c r="B45" s="165" t="n">
        <x:v>1</x:v>
      </x:c>
      <x:c r="C45" s="165" t="str">
        <x:v>EDE Y1 P1</x:v>
      </x:c>
      <x:c r="D45" s="165" t="n">
        <x:v>40</x:v>
      </x:c>
      <x:c r="E45" s="88" t="str">
        <x:v>EDE1022</x:v>
      </x:c>
      <x:c r="F45" s="165" t="str">
        <x:v>EDE1022</x:v>
      </x:c>
      <x:c r="G45" s="165" t="n">
        <x:f>COUNTIFS('Input_Template'!$B$2:$B$226,A45,'Input_Template'!$E$2:$E$226,E45)</x:f>
        <x:v>2</x:v>
      </x:c>
      <x:c r="H45" s="178" t="str">
        <x:v>Programme pattern adapted</x:v>
      </x:c>
      <x:c r="I45" s="178" t="str">
        <x:v>EDE Requirements Template_20 May 2025_2510 _V.xlsx</x:v>
      </x:c>
      <x:c r="J45" s="165" t="n">
        <x:f>COUNTIFS('Input_Template'!$B$2:$B$226,A45,'Input_Template'!$E$2:$E$226,E45,'Input_Template'!$K$2:$K$226,"Online")+COUNTIFS('Input_Template'!$B$2:$B$226,A45,'Input_Template'!$E$2:$E$226,E45,'Input_Template'!$K$2:$K$226,"Asynchronous")</x:f>
        <x:v>0</x:v>
      </x:c>
      <x:c r="K45" s="165" t="n">
        <x:f>COUNTIFS('Input_Template'!$B$2:$B$226,A45,'Input_Template'!$E$2:$E$226,E45,'Input_Template'!$G$2:$G$226,"*lab*")</x:f>
        <x:v>0</x:v>
      </x:c>
      <x:c r="L45" s="165" t="n">
        <x:f>IF(G45=0,0,SUMIFS('Input_Template'!$N$2:$N$226,'Input_Template'!$B$2:$B$226,A45,'Input_Template'!$E$2:$E$226,E45)/G45)</x:f>
        <x:v>40</x:v>
      </x:c>
      <x:c r="M45" s="165" t="str">
        <x:f>IF(AND(G45&gt;=2,L45=D45),"PASS","REVIEW")</x:f>
        <x:v>PASS</x:v>
      </x:c>
      <x:c r="N45" s="165" t="str">
        <x:f>IF(K45=0,"No","REVIEW")</x:f>
        <x:v>No</x:v>
      </x:c>
    </x:row>
    <x:row r="46" ht="22" customHeight="1">
      <x:c r="A46" s="165" t="str">
        <x:v>EDE</x:v>
      </x:c>
      <x:c r="B46" s="165" t="n">
        <x:v>1</x:v>
      </x:c>
      <x:c r="C46" s="165" t="str">
        <x:v>EDE Y1 P1</x:v>
      </x:c>
      <x:c r="D46" s="165" t="n">
        <x:v>40</x:v>
      </x:c>
      <x:c r="E46" s="88" t="str">
        <x:v>EDE1023</x:v>
      </x:c>
      <x:c r="F46" s="165" t="str">
        <x:v>EDE1023</x:v>
      </x:c>
      <x:c r="G46" s="165" t="n">
        <x:f>COUNTIFS('Input_Template'!$B$2:$B$226,A46,'Input_Template'!$E$2:$E$226,E46)</x:f>
        <x:v>2</x:v>
      </x:c>
      <x:c r="H46" s="178" t="str">
        <x:v>Programme pattern adapted</x:v>
      </x:c>
      <x:c r="I46" s="178" t="str">
        <x:v>EDE Requirements Template_20 May 2025_2510 _V.xlsx</x:v>
      </x:c>
      <x:c r="J46" s="165" t="n">
        <x:f>COUNTIFS('Input_Template'!$B$2:$B$226,A46,'Input_Template'!$E$2:$E$226,E46,'Input_Template'!$K$2:$K$226,"Online")+COUNTIFS('Input_Template'!$B$2:$B$226,A46,'Input_Template'!$E$2:$E$226,E46,'Input_Template'!$K$2:$K$226,"Asynchronous")</x:f>
        <x:v>0</x:v>
      </x:c>
      <x:c r="K46" s="165" t="n">
        <x:f>COUNTIFS('Input_Template'!$B$2:$B$226,A46,'Input_Template'!$E$2:$E$226,E46,'Input_Template'!$G$2:$G$226,"*lab*")</x:f>
        <x:v>0</x:v>
      </x:c>
      <x:c r="L46" s="165" t="n">
        <x:f>IF(G46=0,0,SUMIFS('Input_Template'!$N$2:$N$226,'Input_Template'!$B$2:$B$226,A46,'Input_Template'!$E$2:$E$226,E46)/G46)</x:f>
        <x:v>40</x:v>
      </x:c>
      <x:c r="M46" s="165" t="str">
        <x:f>IF(AND(G46&gt;=2,L46=D46),"PASS","REVIEW")</x:f>
        <x:v>PASS</x:v>
      </x:c>
      <x:c r="N46" s="165" t="str">
        <x:f>IF(K46=0,"No","REVIEW")</x:f>
        <x:v>No</x:v>
      </x:c>
    </x:row>
    <x:row r="47" ht="22" customHeight="1">
      <x:c r="A47" s="165" t="str">
        <x:v>EDE</x:v>
      </x:c>
      <x:c r="B47" s="165" t="n">
        <x:v>1</x:v>
      </x:c>
      <x:c r="C47" s="165" t="str">
        <x:v>EDE Y1 P1</x:v>
      </x:c>
      <x:c r="D47" s="165" t="n">
        <x:v>40</x:v>
      </x:c>
      <x:c r="E47" s="88" t="str">
        <x:v>EDE1024</x:v>
      </x:c>
      <x:c r="F47" s="165" t="str">
        <x:v>EDE1024</x:v>
      </x:c>
      <x:c r="G47" s="165" t="n">
        <x:f>COUNTIFS('Input_Template'!$B$2:$B$226,A47,'Input_Template'!$E$2:$E$226,E47)</x:f>
        <x:v>2</x:v>
      </x:c>
      <x:c r="H47" s="178" t="str">
        <x:v>Programme pattern adapted</x:v>
      </x:c>
      <x:c r="I47" s="178" t="str">
        <x:v>EDE Requirements Template_20 May 2025_2510 _V.xlsx; Requirements Template_ENG.xlsx + current admin module database</x:v>
      </x:c>
      <x:c r="J47" s="165" t="n">
        <x:f>COUNTIFS('Input_Template'!$B$2:$B$226,A47,'Input_Template'!$E$2:$E$226,E47,'Input_Template'!$K$2:$K$226,"Online")+COUNTIFS('Input_Template'!$B$2:$B$226,A47,'Input_Template'!$E$2:$E$226,E47,'Input_Template'!$K$2:$K$226,"Asynchronous")</x:f>
        <x:v>0</x:v>
      </x:c>
      <x:c r="K47" s="165" t="n">
        <x:f>COUNTIFS('Input_Template'!$B$2:$B$226,A47,'Input_Template'!$E$2:$E$226,E47,'Input_Template'!$G$2:$G$226,"*lab*")</x:f>
        <x:v>0</x:v>
      </x:c>
      <x:c r="L47" s="165" t="n">
        <x:f>IF(G47=0,0,SUMIFS('Input_Template'!$N$2:$N$226,'Input_Template'!$B$2:$B$226,A47,'Input_Template'!$E$2:$E$226,E47)/G47)</x:f>
        <x:v>40</x:v>
      </x:c>
      <x:c r="M47" s="165" t="str">
        <x:f>IF(AND(G47&gt;=2,L47=D47),"PASS","REVIEW")</x:f>
        <x:v>PASS</x:v>
      </x:c>
      <x:c r="N47" s="165" t="str">
        <x:f>IF(K47=0,"No","REVIEW")</x:f>
        <x:v>No</x:v>
      </x:c>
    </x:row>
    <x:row r="48" ht="22" customHeight="1">
      <x:c r="A48" s="165" t="str">
        <x:v>EDE</x:v>
      </x:c>
      <x:c r="B48" s="165" t="n">
        <x:v>2</x:v>
      </x:c>
      <x:c r="C48" s="165" t="str">
        <x:v>EDE Y2 P1</x:v>
      </x:c>
      <x:c r="D48" s="165" t="n">
        <x:v>40</x:v>
      </x:c>
      <x:c r="E48" s="88" t="str">
        <x:v>EDE2021</x:v>
      </x:c>
      <x:c r="F48" s="165" t="str">
        <x:v>EDE2021</x:v>
      </x:c>
      <x:c r="G48" s="165" t="n">
        <x:f>COUNTIFS('Input_Template'!$B$2:$B$226,A48,'Input_Template'!$E$2:$E$226,E48)</x:f>
        <x:v>2</x:v>
      </x:c>
      <x:c r="H48" s="178" t="str">
        <x:v>Programme pattern adapted</x:v>
      </x:c>
      <x:c r="I48" s="178" t="str">
        <x:v>EDE Requirements Template_20 May 2025_2510 _V.xlsx</x:v>
      </x:c>
      <x:c r="J48" s="165" t="n">
        <x:f>COUNTIFS('Input_Template'!$B$2:$B$226,A48,'Input_Template'!$E$2:$E$226,E48,'Input_Template'!$K$2:$K$226,"Online")+COUNTIFS('Input_Template'!$B$2:$B$226,A48,'Input_Template'!$E$2:$E$226,E48,'Input_Template'!$K$2:$K$226,"Asynchronous")</x:f>
        <x:v>0</x:v>
      </x:c>
      <x:c r="K48" s="165" t="n">
        <x:f>COUNTIFS('Input_Template'!$B$2:$B$226,A48,'Input_Template'!$E$2:$E$226,E48,'Input_Template'!$G$2:$G$226,"*lab*")</x:f>
        <x:v>0</x:v>
      </x:c>
      <x:c r="L48" s="165" t="n">
        <x:f>IF(G48=0,0,SUMIFS('Input_Template'!$N$2:$N$226,'Input_Template'!$B$2:$B$226,A48,'Input_Template'!$E$2:$E$226,E48)/G48)</x:f>
        <x:v>40</x:v>
      </x:c>
      <x:c r="M48" s="165" t="str">
        <x:f>IF(AND(G48&gt;=2,L48=D48),"PASS","REVIEW")</x:f>
        <x:v>PASS</x:v>
      </x:c>
      <x:c r="N48" s="165" t="str">
        <x:f>IF(K48=0,"No","REVIEW")</x:f>
        <x:v>No</x:v>
      </x:c>
    </x:row>
    <x:row r="49" ht="22" customHeight="1">
      <x:c r="A49" s="165" t="str">
        <x:v>EPE</x:v>
      </x:c>
      <x:c r="B49" s="165" t="n">
        <x:v>1</x:v>
      </x:c>
      <x:c r="C49" s="165" t="str">
        <x:v>EPE Y1 P1</x:v>
      </x:c>
      <x:c r="D49" s="165" t="n">
        <x:v>40</x:v>
      </x:c>
      <x:c r="E49" s="88" t="str">
        <x:v>EPE1301</x:v>
      </x:c>
      <x:c r="F49" s="165" t="str">
        <x:v>EPE1301</x:v>
      </x:c>
      <x:c r="G49" s="165" t="n">
        <x:f>COUNTIFS('Input_Template'!$B$2:$B$226,A49,'Input_Template'!$E$2:$E$226,E49)</x:f>
        <x:v>3</x:v>
      </x:c>
      <x:c r="H49" s="178" t="str">
        <x:v>Programme pattern adapted</x:v>
      </x:c>
      <x:c r="I49" s="178" t="str">
        <x:v>EPE_Year 1.xlsx</x:v>
      </x:c>
      <x:c r="J49" s="165" t="n">
        <x:f>COUNTIFS('Input_Template'!$B$2:$B$226,A49,'Input_Template'!$E$2:$E$226,E49,'Input_Template'!$K$2:$K$226,"Online")+COUNTIFS('Input_Template'!$B$2:$B$226,A49,'Input_Template'!$E$2:$E$226,E49,'Input_Template'!$K$2:$K$226,"Asynchronous")</x:f>
        <x:v>1</x:v>
      </x:c>
      <x:c r="K49" s="165" t="n">
        <x:f>COUNTIFS('Input_Template'!$B$2:$B$226,A49,'Input_Template'!$E$2:$E$226,E49,'Input_Template'!$G$2:$G$226,"*lab*")</x:f>
        <x:v>0</x:v>
      </x:c>
      <x:c r="L49" s="165" t="n">
        <x:f>IF(G49=0,0,SUMIFS('Input_Template'!$N$2:$N$226,'Input_Template'!$B$2:$B$226,A49,'Input_Template'!$E$2:$E$226,E49)/G49)</x:f>
        <x:v>40</x:v>
      </x:c>
      <x:c r="M49" s="165" t="str">
        <x:f>IF(AND(G49&gt;=2,L49=D49),"PASS","REVIEW")</x:f>
        <x:v>PASS</x:v>
      </x:c>
      <x:c r="N49" s="165" t="str">
        <x:f>IF(K49=0,"No","REVIEW")</x:f>
        <x:v>No</x:v>
      </x:c>
    </x:row>
    <x:row r="50" ht="22" customHeight="1">
      <x:c r="A50" s="165" t="str">
        <x:v>EPE</x:v>
      </x:c>
      <x:c r="B50" s="165" t="n">
        <x:v>1</x:v>
      </x:c>
      <x:c r="C50" s="165" t="str">
        <x:v>EPE Y1 P1</x:v>
      </x:c>
      <x:c r="D50" s="165" t="n">
        <x:v>40</x:v>
      </x:c>
      <x:c r="E50" s="88" t="str">
        <x:v>EPE1302</x:v>
      </x:c>
      <x:c r="F50" s="165" t="str">
        <x:v>EPE1302</x:v>
      </x:c>
      <x:c r="G50" s="165" t="n">
        <x:f>COUNTIFS('Input_Template'!$B$2:$B$226,A50,'Input_Template'!$E$2:$E$226,E50)</x:f>
        <x:v>2</x:v>
      </x:c>
      <x:c r="H50" s="178" t="str">
        <x:v>Programme pattern adapted</x:v>
      </x:c>
      <x:c r="I50" s="178" t="str">
        <x:v>EPE_Year 1.xlsx; Requirements Template_ENG.xlsx + current admin module database</x:v>
      </x:c>
      <x:c r="J50" s="165" t="n">
        <x:f>COUNTIFS('Input_Template'!$B$2:$B$226,A50,'Input_Template'!$E$2:$E$226,E50,'Input_Template'!$K$2:$K$226,"Online")+COUNTIFS('Input_Template'!$B$2:$B$226,A50,'Input_Template'!$E$2:$E$226,E50,'Input_Template'!$K$2:$K$226,"Asynchronous")</x:f>
        <x:v>0</x:v>
      </x:c>
      <x:c r="K50" s="165" t="n">
        <x:f>COUNTIFS('Input_Template'!$B$2:$B$226,A50,'Input_Template'!$E$2:$E$226,E50,'Input_Template'!$G$2:$G$226,"*lab*")</x:f>
        <x:v>0</x:v>
      </x:c>
      <x:c r="L50" s="165" t="n">
        <x:f>IF(G50=0,0,SUMIFS('Input_Template'!$N$2:$N$226,'Input_Template'!$B$2:$B$226,A50,'Input_Template'!$E$2:$E$226,E50)/G50)</x:f>
        <x:v>40</x:v>
      </x:c>
      <x:c r="M50" s="165" t="str">
        <x:f>IF(AND(G50&gt;=2,L50=D50),"PASS","REVIEW")</x:f>
        <x:v>PASS</x:v>
      </x:c>
      <x:c r="N50" s="165" t="str">
        <x:f>IF(K50=0,"No","REVIEW")</x:f>
        <x:v>No</x:v>
      </x:c>
    </x:row>
    <x:row r="51" ht="22" customHeight="1">
      <x:c r="A51" s="165" t="str">
        <x:v>EPE</x:v>
      </x:c>
      <x:c r="B51" s="165" t="n">
        <x:v>1</x:v>
      </x:c>
      <x:c r="C51" s="165" t="str">
        <x:v>EPE Y1 P1</x:v>
      </x:c>
      <x:c r="D51" s="165" t="n">
        <x:v>40</x:v>
      </x:c>
      <x:c r="E51" s="88" t="str">
        <x:v>EPE1303</x:v>
      </x:c>
      <x:c r="F51" s="165" t="str">
        <x:v>EPE1303</x:v>
      </x:c>
      <x:c r="G51" s="165" t="n">
        <x:f>COUNTIFS('Input_Template'!$B$2:$B$226,A51,'Input_Template'!$E$2:$E$226,E51)</x:f>
        <x:v>2</x:v>
      </x:c>
      <x:c r="H51" s="178" t="str">
        <x:v>Programme pattern adapted</x:v>
      </x:c>
      <x:c r="I51" s="178" t="str">
        <x:v>EPE_Year 1.xlsx</x:v>
      </x:c>
      <x:c r="J51" s="165" t="n">
        <x:f>COUNTIFS('Input_Template'!$B$2:$B$226,A51,'Input_Template'!$E$2:$E$226,E51,'Input_Template'!$K$2:$K$226,"Online")+COUNTIFS('Input_Template'!$B$2:$B$226,A51,'Input_Template'!$E$2:$E$226,E51,'Input_Template'!$K$2:$K$226,"Asynchronous")</x:f>
        <x:v>0</x:v>
      </x:c>
      <x:c r="K51" s="165" t="n">
        <x:f>COUNTIFS('Input_Template'!$B$2:$B$226,A51,'Input_Template'!$E$2:$E$226,E51,'Input_Template'!$G$2:$G$226,"*lab*")</x:f>
        <x:v>0</x:v>
      </x:c>
      <x:c r="L51" s="165" t="n">
        <x:f>IF(G51=0,0,SUMIFS('Input_Template'!$N$2:$N$226,'Input_Template'!$B$2:$B$226,A51,'Input_Template'!$E$2:$E$226,E51)/G51)</x:f>
        <x:v>40</x:v>
      </x:c>
      <x:c r="M51" s="165" t="str">
        <x:f>IF(AND(G51&gt;=2,L51=D51),"PASS","REVIEW")</x:f>
        <x:v>PASS</x:v>
      </x:c>
      <x:c r="N51" s="165" t="str">
        <x:f>IF(K51=0,"No","REVIEW")</x:f>
        <x:v>No</x:v>
      </x:c>
    </x:row>
    <x:row r="52" ht="22" customHeight="1">
      <x:c r="A52" s="165" t="str">
        <x:v>EPE</x:v>
      </x:c>
      <x:c r="B52" s="165" t="n">
        <x:v>3</x:v>
      </x:c>
      <x:c r="C52" s="165" t="str">
        <x:v>EPE Y3 P1</x:v>
      </x:c>
      <x:c r="D52" s="165" t="n">
        <x:v>40</x:v>
      </x:c>
      <x:c r="E52" s="88" t="str">
        <x:v>EPE3301</x:v>
      </x:c>
      <x:c r="F52" s="165" t="str">
        <x:v>EPE3301</x:v>
      </x:c>
      <x:c r="G52" s="165" t="n">
        <x:f>COUNTIFS('Input_Template'!$B$2:$B$226,A52,'Input_Template'!$E$2:$E$226,E52)</x:f>
        <x:v>2</x:v>
      </x:c>
      <x:c r="H52" s="178" t="str">
        <x:v>Programme pattern adapted</x:v>
      </x:c>
      <x:c r="I52" s="178" t="str">
        <x:v>EPE_Year 2.xlsx</x:v>
      </x:c>
      <x:c r="J52" s="165" t="n">
        <x:f>COUNTIFS('Input_Template'!$B$2:$B$226,A52,'Input_Template'!$E$2:$E$226,E52,'Input_Template'!$K$2:$K$226,"Online")+COUNTIFS('Input_Template'!$B$2:$B$226,A52,'Input_Template'!$E$2:$E$226,E52,'Input_Template'!$K$2:$K$226,"Asynchronous")</x:f>
        <x:v>0</x:v>
      </x:c>
      <x:c r="K52" s="165" t="n">
        <x:f>COUNTIFS('Input_Template'!$B$2:$B$226,A52,'Input_Template'!$E$2:$E$226,E52,'Input_Template'!$G$2:$G$226,"*lab*")</x:f>
        <x:v>0</x:v>
      </x:c>
      <x:c r="L52" s="165" t="n">
        <x:f>IF(G52=0,0,SUMIFS('Input_Template'!$N$2:$N$226,'Input_Template'!$B$2:$B$226,A52,'Input_Template'!$E$2:$E$226,E52)/G52)</x:f>
        <x:v>40</x:v>
      </x:c>
      <x:c r="M52" s="165" t="str">
        <x:f>IF(AND(G52&gt;=2,L52=D52),"PASS","REVIEW")</x:f>
        <x:v>PASS</x:v>
      </x:c>
      <x:c r="N52" s="165" t="str">
        <x:f>IF(K52=0,"No","REVIEW")</x:f>
        <x:v>No</x:v>
      </x:c>
    </x:row>
    <x:row r="53" ht="22" customHeight="1">
      <x:c r="A53" s="165" t="str">
        <x:v>EPE</x:v>
      </x:c>
      <x:c r="B53" s="165" t="n">
        <x:v>3</x:v>
      </x:c>
      <x:c r="C53" s="165" t="str">
        <x:v>EPE Y3 P1</x:v>
      </x:c>
      <x:c r="D53" s="165" t="n">
        <x:v>40</x:v>
      </x:c>
      <x:c r="E53" s="88" t="str">
        <x:v>EPE3303A</x:v>
      </x:c>
      <x:c r="F53" s="165" t="str">
        <x:v>EPE3303A</x:v>
      </x:c>
      <x:c r="G53" s="165" t="n">
        <x:f>COUNTIFS('Input_Template'!$B$2:$B$226,A53,'Input_Template'!$E$2:$E$226,E53)</x:f>
        <x:v>2</x:v>
      </x:c>
      <x:c r="H53" s="178" t="str">
        <x:v>Exact historical module</x:v>
      </x:c>
      <x:c r="I53" s="178" t="str">
        <x:v>EPE_Year 2.xlsx; Requirements Template_ENG.xlsx + current admin module database</x:v>
      </x:c>
      <x:c r="J53" s="165" t="n">
        <x:f>COUNTIFS('Input_Template'!$B$2:$B$226,A53,'Input_Template'!$E$2:$E$226,E53,'Input_Template'!$K$2:$K$226,"Online")+COUNTIFS('Input_Template'!$B$2:$B$226,A53,'Input_Template'!$E$2:$E$226,E53,'Input_Template'!$K$2:$K$226,"Asynchronous")</x:f>
        <x:v>0</x:v>
      </x:c>
      <x:c r="K53" s="165" t="n">
        <x:f>COUNTIFS('Input_Template'!$B$2:$B$226,A53,'Input_Template'!$E$2:$E$226,E53,'Input_Template'!$G$2:$G$226,"*lab*")</x:f>
        <x:v>0</x:v>
      </x:c>
      <x:c r="L53" s="165" t="n">
        <x:f>IF(G53=0,0,SUMIFS('Input_Template'!$N$2:$N$226,'Input_Template'!$B$2:$B$226,A53,'Input_Template'!$E$2:$E$226,E53)/G53)</x:f>
        <x:v>40</x:v>
      </x:c>
      <x:c r="M53" s="165" t="str">
        <x:f>IF(AND(G53&gt;=2,L53=D53),"PASS","REVIEW")</x:f>
        <x:v>PASS</x:v>
      </x:c>
      <x:c r="N53" s="165" t="str">
        <x:f>IF(K53=0,"No","REVIEW")</x:f>
        <x:v>No</x:v>
      </x:c>
    </x:row>
    <x:row r="54" ht="22" customHeight="1">
      <x:c r="A54" s="165" t="str">
        <x:v>ESE</x:v>
      </x:c>
      <x:c r="B54" s="165" t="n">
        <x:v>1</x:v>
      </x:c>
      <x:c r="C54" s="165" t="str">
        <x:v>ESE Y1 P1</x:v>
      </x:c>
      <x:c r="D54" s="165" t="n">
        <x:v>40</x:v>
      </x:c>
      <x:c r="E54" s="88" t="str">
        <x:v>ESE1101</x:v>
      </x:c>
      <x:c r="F54" s="165" t="str">
        <x:v>ESE1101</x:v>
      </x:c>
      <x:c r="G54" s="165" t="n">
        <x:f>COUNTIFS('Input_Template'!$B$2:$B$226,A54,'Input_Template'!$E$2:$E$226,E54)</x:f>
        <x:v>5</x:v>
      </x:c>
      <x:c r="H54" s="178" t="str">
        <x:v>Exact historical module</x:v>
      </x:c>
      <x:c r="I54" s="178" t="str">
        <x:v>ESE Year 1.xlsx</x:v>
      </x:c>
      <x:c r="J54" s="165" t="n">
        <x:f>COUNTIFS('Input_Template'!$B$2:$B$226,A54,'Input_Template'!$E$2:$E$226,E54,'Input_Template'!$K$2:$K$226,"Online")+COUNTIFS('Input_Template'!$B$2:$B$226,A54,'Input_Template'!$E$2:$E$226,E54,'Input_Template'!$K$2:$K$226,"Asynchronous")</x:f>
        <x:v>2</x:v>
      </x:c>
      <x:c r="K54" s="165" t="n">
        <x:f>COUNTIFS('Input_Template'!$B$2:$B$226,A54,'Input_Template'!$E$2:$E$226,E54,'Input_Template'!$G$2:$G$226,"*lab*")</x:f>
        <x:v>0</x:v>
      </x:c>
      <x:c r="L54" s="165" t="n">
        <x:f>IF(G54=0,0,SUMIFS('Input_Template'!$N$2:$N$226,'Input_Template'!$B$2:$B$226,A54,'Input_Template'!$E$2:$E$226,E54)/G54)</x:f>
        <x:v>40</x:v>
      </x:c>
      <x:c r="M54" s="165" t="str">
        <x:f>IF(AND(G54&gt;=2,L54=D54),"PASS","REVIEW")</x:f>
        <x:v>PASS</x:v>
      </x:c>
      <x:c r="N54" s="165" t="str">
        <x:f>IF(K54=0,"No","REVIEW")</x:f>
        <x:v>No</x:v>
      </x:c>
    </x:row>
    <x:row r="55" ht="22" customHeight="1">
      <x:c r="A55" s="165" t="str">
        <x:v>ESE</x:v>
      </x:c>
      <x:c r="B55" s="165" t="n">
        <x:v>1</x:v>
      </x:c>
      <x:c r="C55" s="165" t="str">
        <x:v>ESE Y1 P1</x:v>
      </x:c>
      <x:c r="D55" s="165" t="n">
        <x:v>40</x:v>
      </x:c>
      <x:c r="E55" s="88" t="str">
        <x:v>ESE1109</x:v>
      </x:c>
      <x:c r="F55" s="165" t="str">
        <x:v>ESE1109</x:v>
      </x:c>
      <x:c r="G55" s="165" t="n">
        <x:f>COUNTIFS('Input_Template'!$B$2:$B$226,A55,'Input_Template'!$E$2:$E$226,E55)</x:f>
        <x:v>2</x:v>
      </x:c>
      <x:c r="H55" s="178" t="str">
        <x:v>Programme pattern adapted</x:v>
      </x:c>
      <x:c r="I55" s="178" t="str">
        <x:v>ESE Year 2.xlsx</x:v>
      </x:c>
      <x:c r="J55" s="165" t="n">
        <x:f>COUNTIFS('Input_Template'!$B$2:$B$226,A55,'Input_Template'!$E$2:$E$226,E55,'Input_Template'!$K$2:$K$226,"Online")+COUNTIFS('Input_Template'!$B$2:$B$226,A55,'Input_Template'!$E$2:$E$226,E55,'Input_Template'!$K$2:$K$226,"Asynchronous")</x:f>
        <x:v>0</x:v>
      </x:c>
      <x:c r="K55" s="165" t="n">
        <x:f>COUNTIFS('Input_Template'!$B$2:$B$226,A55,'Input_Template'!$E$2:$E$226,E55,'Input_Template'!$G$2:$G$226,"*lab*")</x:f>
        <x:v>0</x:v>
      </x:c>
      <x:c r="L55" s="165" t="n">
        <x:f>IF(G55=0,0,SUMIFS('Input_Template'!$N$2:$N$226,'Input_Template'!$B$2:$B$226,A55,'Input_Template'!$E$2:$E$226,E55)/G55)</x:f>
        <x:v>40</x:v>
      </x:c>
      <x:c r="M55" s="165" t="str">
        <x:f>IF(AND(G55&gt;=2,L55=D55),"PASS","REVIEW")</x:f>
        <x:v>PASS</x:v>
      </x:c>
      <x:c r="N55" s="165" t="str">
        <x:f>IF(K55=0,"No","REVIEW")</x:f>
        <x:v>No</x:v>
      </x:c>
    </x:row>
    <x:row r="56" ht="22" customHeight="1">
      <x:c r="A56" s="165" t="str">
        <x:v>ESE</x:v>
      </x:c>
      <x:c r="B56" s="165" t="n">
        <x:v>2</x:v>
      </x:c>
      <x:c r="C56" s="165" t="str">
        <x:v>ESE Y2 P1</x:v>
      </x:c>
      <x:c r="D56" s="165" t="n">
        <x:v>40</x:v>
      </x:c>
      <x:c r="E56" s="88" t="str">
        <x:v>ESE2103</x:v>
      </x:c>
      <x:c r="F56" s="165" t="str">
        <x:v>ESE2103</x:v>
      </x:c>
      <x:c r="G56" s="165" t="n">
        <x:f>COUNTIFS('Input_Template'!$B$2:$B$226,A56,'Input_Template'!$E$2:$E$226,E56)</x:f>
        <x:v>2</x:v>
      </x:c>
      <x:c r="H56" s="178" t="str">
        <x:v>Programme pattern adapted</x:v>
      </x:c>
      <x:c r="I56" s="178" t="str">
        <x:v>ESE Year 2.xlsx</x:v>
      </x:c>
      <x:c r="J56" s="165" t="n">
        <x:f>COUNTIFS('Input_Template'!$B$2:$B$226,A56,'Input_Template'!$E$2:$E$226,E56,'Input_Template'!$K$2:$K$226,"Online")+COUNTIFS('Input_Template'!$B$2:$B$226,A56,'Input_Template'!$E$2:$E$226,E56,'Input_Template'!$K$2:$K$226,"Asynchronous")</x:f>
        <x:v>0</x:v>
      </x:c>
      <x:c r="K56" s="165" t="n">
        <x:f>COUNTIFS('Input_Template'!$B$2:$B$226,A56,'Input_Template'!$E$2:$E$226,E56,'Input_Template'!$G$2:$G$226,"*lab*")</x:f>
        <x:v>0</x:v>
      </x:c>
      <x:c r="L56" s="165" t="n">
        <x:f>IF(G56=0,0,SUMIFS('Input_Template'!$N$2:$N$226,'Input_Template'!$B$2:$B$226,A56,'Input_Template'!$E$2:$E$226,E56)/G56)</x:f>
        <x:v>40</x:v>
      </x:c>
      <x:c r="M56" s="165" t="str">
        <x:f>IF(AND(G56&gt;=2,L56=D56),"PASS","REVIEW")</x:f>
        <x:v>PASS</x:v>
      </x:c>
      <x:c r="N56" s="165" t="str">
        <x:f>IF(K56=0,"No","REVIEW")</x:f>
        <x:v>No</x:v>
      </x:c>
    </x:row>
    <x:row r="57" ht="22" customHeight="1">
      <x:c r="A57" s="165" t="str">
        <x:v>ESE</x:v>
      </x:c>
      <x:c r="B57" s="165" t="n">
        <x:v>3</x:v>
      </x:c>
      <x:c r="C57" s="165" t="str">
        <x:v>ESE Y3 P1</x:v>
      </x:c>
      <x:c r="D57" s="165" t="n">
        <x:v>40</x:v>
      </x:c>
      <x:c r="E57" s="88" t="str">
        <x:v>ESE3103</x:v>
      </x:c>
      <x:c r="F57" s="165" t="str">
        <x:v>ESE3103</x:v>
      </x:c>
      <x:c r="G57" s="165" t="n">
        <x:f>COUNTIFS('Input_Template'!$B$2:$B$226,A57,'Input_Template'!$E$2:$E$226,E57)</x:f>
        <x:v>2</x:v>
      </x:c>
      <x:c r="H57" s="178" t="str">
        <x:v>Programme pattern adapted</x:v>
      </x:c>
      <x:c r="I57" s="178" t="str">
        <x:v>ESE Year 2.xlsx</x:v>
      </x:c>
      <x:c r="J57" s="165" t="n">
        <x:f>COUNTIFS('Input_Template'!$B$2:$B$226,A57,'Input_Template'!$E$2:$E$226,E57,'Input_Template'!$K$2:$K$226,"Online")+COUNTIFS('Input_Template'!$B$2:$B$226,A57,'Input_Template'!$E$2:$E$226,E57,'Input_Template'!$K$2:$K$226,"Asynchronous")</x:f>
        <x:v>0</x:v>
      </x:c>
      <x:c r="K57" s="165" t="n">
        <x:f>COUNTIFS('Input_Template'!$B$2:$B$226,A57,'Input_Template'!$E$2:$E$226,E57,'Input_Template'!$G$2:$G$226,"*lab*")</x:f>
        <x:v>0</x:v>
      </x:c>
      <x:c r="L57" s="165" t="n">
        <x:f>IF(G57=0,0,SUMIFS('Input_Template'!$N$2:$N$226,'Input_Template'!$B$2:$B$226,A57,'Input_Template'!$E$2:$E$226,E57)/G57)</x:f>
        <x:v>40</x:v>
      </x:c>
      <x:c r="M57" s="165" t="str">
        <x:f>IF(AND(G57&gt;=2,L57=D57),"PASS","REVIEW")</x:f>
        <x:v>PASS</x:v>
      </x:c>
      <x:c r="N57" s="165" t="str">
        <x:f>IF(K57=0,"No","REVIEW")</x:f>
        <x:v>No</x:v>
      </x:c>
    </x:row>
    <x:row r="58" ht="22" customHeight="1">
      <x:c r="A58" s="165" t="str">
        <x:v>ESE</x:v>
      </x:c>
      <x:c r="B58" s="165" t="n">
        <x:v>3</x:v>
      </x:c>
      <x:c r="C58" s="165" t="str">
        <x:v>ESE Y3 P1</x:v>
      </x:c>
      <x:c r="D58" s="165" t="n">
        <x:v>40</x:v>
      </x:c>
      <x:c r="E58" s="88" t="str">
        <x:v>ESE3104</x:v>
      </x:c>
      <x:c r="F58" s="165" t="str">
        <x:v>ESE3104</x:v>
      </x:c>
      <x:c r="G58" s="165" t="n">
        <x:f>COUNTIFS('Input_Template'!$B$2:$B$226,A58,'Input_Template'!$E$2:$E$226,E58)</x:f>
        <x:v>2</x:v>
      </x:c>
      <x:c r="H58" s="178" t="str">
        <x:v>Programme pattern adapted</x:v>
      </x:c>
      <x:c r="I58" s="178" t="str">
        <x:v>ESE Year 2.xlsx</x:v>
      </x:c>
      <x:c r="J58" s="165" t="n">
        <x:f>COUNTIFS('Input_Template'!$B$2:$B$226,A58,'Input_Template'!$E$2:$E$226,E58,'Input_Template'!$K$2:$K$226,"Online")+COUNTIFS('Input_Template'!$B$2:$B$226,A58,'Input_Template'!$E$2:$E$226,E58,'Input_Template'!$K$2:$K$226,"Asynchronous")</x:f>
        <x:v>0</x:v>
      </x:c>
      <x:c r="K58" s="165" t="n">
        <x:f>COUNTIFS('Input_Template'!$B$2:$B$226,A58,'Input_Template'!$E$2:$E$226,E58,'Input_Template'!$G$2:$G$226,"*lab*")</x:f>
        <x:v>0</x:v>
      </x:c>
      <x:c r="L58" s="165" t="n">
        <x:f>IF(G58=0,0,SUMIFS('Input_Template'!$N$2:$N$226,'Input_Template'!$B$2:$B$226,A58,'Input_Template'!$E$2:$E$226,E58)/G58)</x:f>
        <x:v>40</x:v>
      </x:c>
      <x:c r="M58" s="165" t="str">
        <x:f>IF(AND(G58&gt;=2,L58=D58),"PASS","REVIEW")</x:f>
        <x:v>PASS</x:v>
      </x:c>
      <x:c r="N58" s="165" t="str">
        <x:f>IF(K58=0,"No","REVIEW")</x:f>
        <x:v>No</x:v>
      </x:c>
    </x:row>
    <x:row r="59" ht="22" customHeight="1">
      <x:c r="A59" s="165" t="str">
        <x:v>FDT</x:v>
      </x:c>
      <x:c r="B59" s="165" t="n">
        <x:v>1</x:v>
      </x:c>
      <x:c r="C59" s="165" t="str">
        <x:v>FDT Y1 P1</x:v>
      </x:c>
      <x:c r="D59" s="165" t="n">
        <x:v>40</x:v>
      </x:c>
      <x:c r="E59" s="88" t="str">
        <x:v>FDT1012</x:v>
      </x:c>
      <x:c r="F59" s="165" t="str">
        <x:v>FDT1012</x:v>
      </x:c>
      <x:c r="G59" s="165" t="n">
        <x:f>COUNTIFS('Input_Template'!$B$2:$B$226,A59,'Input_Template'!$E$2:$E$226,E59)</x:f>
        <x:v>3</x:v>
      </x:c>
      <x:c r="H59" s="178" t="str">
        <x:v>Programme pattern adapted</x:v>
      </x:c>
      <x:c r="I59" s="178" t="str">
        <x:v>Requirements Template_ENG.xlsx + current admin module database; SDE Timetable Requirements (2510).xlsx</x:v>
      </x:c>
      <x:c r="J59" s="165" t="n">
        <x:f>COUNTIFS('Input_Template'!$B$2:$B$226,A59,'Input_Template'!$E$2:$E$226,E59,'Input_Template'!$K$2:$K$226,"Online")+COUNTIFS('Input_Template'!$B$2:$B$226,A59,'Input_Template'!$E$2:$E$226,E59,'Input_Template'!$K$2:$K$226,"Asynchronous")</x:f>
        <x:v>0</x:v>
      </x:c>
      <x:c r="K59" s="165" t="n">
        <x:f>COUNTIFS('Input_Template'!$B$2:$B$226,A59,'Input_Template'!$E$2:$E$226,E59,'Input_Template'!$G$2:$G$226,"*lab*")</x:f>
        <x:v>0</x:v>
      </x:c>
      <x:c r="L59" s="165" t="n">
        <x:f>IF(G59=0,0,SUMIFS('Input_Template'!$N$2:$N$226,'Input_Template'!$B$2:$B$226,A59,'Input_Template'!$E$2:$E$226,E59)/G59)</x:f>
        <x:v>40</x:v>
      </x:c>
      <x:c r="M59" s="165" t="str">
        <x:f>IF(AND(G59&gt;=2,L59=D59),"PASS","REVIEW")</x:f>
        <x:v>PASS</x:v>
      </x:c>
      <x:c r="N59" s="165" t="str">
        <x:f>IF(K59=0,"No","REVIEW")</x:f>
        <x:v>No</x:v>
      </x:c>
    </x:row>
    <x:row r="60" ht="22" customHeight="1">
      <x:c r="A60" s="165" t="str">
        <x:v>FDT</x:v>
      </x:c>
      <x:c r="B60" s="165" t="n">
        <x:v>1</x:v>
      </x:c>
      <x:c r="C60" s="165" t="str">
        <x:v>FDT Y1 P1</x:v>
      </x:c>
      <x:c r="D60" s="165" t="n">
        <x:v>40</x:v>
      </x:c>
      <x:c r="E60" s="88" t="str">
        <x:v>FDT1013</x:v>
      </x:c>
      <x:c r="F60" s="165" t="str">
        <x:v>FDT1013</x:v>
      </x:c>
      <x:c r="G60" s="165" t="n">
        <x:f>COUNTIFS('Input_Template'!$B$2:$B$226,A60,'Input_Template'!$E$2:$E$226,E60)</x:f>
        <x:v>2</x:v>
      </x:c>
      <x:c r="H60" s="178" t="str">
        <x:v>Programme pattern adapted</x:v>
      </x:c>
      <x:c r="I60" s="178" t="str">
        <x:v>Requirements Template_ENG.xlsx + current admin module database; SDE Timetable Requirements (2510).xlsx</x:v>
      </x:c>
      <x:c r="J60" s="165" t="n">
        <x:f>COUNTIFS('Input_Template'!$B$2:$B$226,A60,'Input_Template'!$E$2:$E$226,E60,'Input_Template'!$K$2:$K$226,"Online")+COUNTIFS('Input_Template'!$B$2:$B$226,A60,'Input_Template'!$E$2:$E$226,E60,'Input_Template'!$K$2:$K$226,"Asynchronous")</x:f>
        <x:v>0</x:v>
      </x:c>
      <x:c r="K60" s="165" t="n">
        <x:f>COUNTIFS('Input_Template'!$B$2:$B$226,A60,'Input_Template'!$E$2:$E$226,E60,'Input_Template'!$G$2:$G$226,"*lab*")</x:f>
        <x:v>0</x:v>
      </x:c>
      <x:c r="L60" s="165" t="n">
        <x:f>IF(G60=0,0,SUMIFS('Input_Template'!$N$2:$N$226,'Input_Template'!$B$2:$B$226,A60,'Input_Template'!$E$2:$E$226,E60)/G60)</x:f>
        <x:v>40</x:v>
      </x:c>
      <x:c r="M60" s="165" t="str">
        <x:f>IF(AND(G60&gt;=2,L60=D60),"PASS","REVIEW")</x:f>
        <x:v>PASS</x:v>
      </x:c>
      <x:c r="N60" s="165" t="str">
        <x:f>IF(K60=0,"No","REVIEW")</x:f>
        <x:v>No</x:v>
      </x:c>
    </x:row>
    <x:row r="61" ht="22" customHeight="1">
      <x:c r="A61" s="165" t="str">
        <x:v>FDT</x:v>
      </x:c>
      <x:c r="B61" s="165" t="n">
        <x:v>1</x:v>
      </x:c>
      <x:c r="C61" s="165" t="str">
        <x:v>FDT Y1 P1</x:v>
      </x:c>
      <x:c r="D61" s="165" t="n">
        <x:v>40</x:v>
      </x:c>
      <x:c r="E61" s="88" t="str">
        <x:v>FDT1021</x:v>
      </x:c>
      <x:c r="F61" s="165" t="str">
        <x:v>FDT1021</x:v>
      </x:c>
      <x:c r="G61" s="165" t="n">
        <x:f>COUNTIFS('Input_Template'!$B$2:$B$226,A61,'Input_Template'!$E$2:$E$226,E61)</x:f>
        <x:v>2</x:v>
      </x:c>
      <x:c r="H61" s="178" t="str">
        <x:v>Programme pattern adapted</x:v>
      </x:c>
      <x:c r="I61" s="178" t="str">
        <x:v>Requirements Template_ENG.xlsx + current admin module database; SDE Timetable Requirements (2510).xlsx</x:v>
      </x:c>
      <x:c r="J61" s="165" t="n">
        <x:f>COUNTIFS('Input_Template'!$B$2:$B$226,A61,'Input_Template'!$E$2:$E$226,E61,'Input_Template'!$K$2:$K$226,"Online")+COUNTIFS('Input_Template'!$B$2:$B$226,A61,'Input_Template'!$E$2:$E$226,E61,'Input_Template'!$K$2:$K$226,"Asynchronous")</x:f>
        <x:v>0</x:v>
      </x:c>
      <x:c r="K61" s="165" t="n">
        <x:f>COUNTIFS('Input_Template'!$B$2:$B$226,A61,'Input_Template'!$E$2:$E$226,E61,'Input_Template'!$G$2:$G$226,"*lab*")</x:f>
        <x:v>0</x:v>
      </x:c>
      <x:c r="L61" s="165" t="n">
        <x:f>IF(G61=0,0,SUMIFS('Input_Template'!$N$2:$N$226,'Input_Template'!$B$2:$B$226,A61,'Input_Template'!$E$2:$E$226,E61)/G61)</x:f>
        <x:v>40</x:v>
      </x:c>
      <x:c r="M61" s="165" t="str">
        <x:f>IF(AND(G61&gt;=2,L61=D61),"PASS","REVIEW")</x:f>
        <x:v>PASS</x:v>
      </x:c>
      <x:c r="N61" s="165" t="str">
        <x:f>IF(K61=0,"No","REVIEW")</x:f>
        <x:v>No</x:v>
      </x:c>
    </x:row>
    <x:row r="62" ht="22" customHeight="1">
      <x:c r="A62" s="165" t="str">
        <x:v>FDT</x:v>
      </x:c>
      <x:c r="B62" s="165" t="n">
        <x:v>2</x:v>
      </x:c>
      <x:c r="C62" s="165" t="str">
        <x:v>FDT Y2 P1</x:v>
      </x:c>
      <x:c r="D62" s="165" t="n">
        <x:v>40</x:v>
      </x:c>
      <x:c r="E62" s="88" t="str">
        <x:v>FDT2011</x:v>
      </x:c>
      <x:c r="F62" s="165" t="str">
        <x:v>FDT2011</x:v>
      </x:c>
      <x:c r="G62" s="165" t="n">
        <x:f>COUNTIFS('Input_Template'!$B$2:$B$226,A62,'Input_Template'!$E$2:$E$226,E62)</x:f>
        <x:v>2</x:v>
      </x:c>
      <x:c r="H62" s="178" t="str">
        <x:v>Programme pattern adapted</x:v>
      </x:c>
      <x:c r="I62" s="178" t="str">
        <x:v>Requirements Template_ENG.xlsx + current admin module database; SDE Timetable Requirements (2510).xlsx</x:v>
      </x:c>
      <x:c r="J62" s="165" t="n">
        <x:f>COUNTIFS('Input_Template'!$B$2:$B$226,A62,'Input_Template'!$E$2:$E$226,E62,'Input_Template'!$K$2:$K$226,"Online")+COUNTIFS('Input_Template'!$B$2:$B$226,A62,'Input_Template'!$E$2:$E$226,E62,'Input_Template'!$K$2:$K$226,"Asynchronous")</x:f>
        <x:v>0</x:v>
      </x:c>
      <x:c r="K62" s="165" t="n">
        <x:f>COUNTIFS('Input_Template'!$B$2:$B$226,A62,'Input_Template'!$E$2:$E$226,E62,'Input_Template'!$G$2:$G$226,"*lab*")</x:f>
        <x:v>0</x:v>
      </x:c>
      <x:c r="L62" s="165" t="n">
        <x:f>IF(G62=0,0,SUMIFS('Input_Template'!$N$2:$N$226,'Input_Template'!$B$2:$B$226,A62,'Input_Template'!$E$2:$E$226,E62)/G62)</x:f>
        <x:v>40</x:v>
      </x:c>
      <x:c r="M62" s="165" t="str">
        <x:f>IF(AND(G62&gt;=2,L62=D62),"PASS","REVIEW")</x:f>
        <x:v>PASS</x:v>
      </x:c>
      <x:c r="N62" s="165" t="str">
        <x:f>IF(K62=0,"No","REVIEW")</x:f>
        <x:v>No</x:v>
      </x:c>
    </x:row>
    <x:row r="63" ht="22" customHeight="1">
      <x:c r="A63" s="165" t="str">
        <x:v>FDT</x:v>
      </x:c>
      <x:c r="B63" s="165" t="n">
        <x:v>2</x:v>
      </x:c>
      <x:c r="C63" s="165" t="str">
        <x:v>FDT Y2 P1</x:v>
      </x:c>
      <x:c r="D63" s="165" t="n">
        <x:v>40</x:v>
      </x:c>
      <x:c r="E63" s="88" t="str">
        <x:v>FDT2013</x:v>
      </x:c>
      <x:c r="F63" s="165" t="str">
        <x:v>FDT2013</x:v>
      </x:c>
      <x:c r="G63" s="165" t="n">
        <x:f>COUNTIFS('Input_Template'!$B$2:$B$226,A63,'Input_Template'!$E$2:$E$226,E63)</x:f>
        <x:v>2</x:v>
      </x:c>
      <x:c r="H63" s="178" t="str">
        <x:v>Programme pattern adapted</x:v>
      </x:c>
      <x:c r="I63" s="178" t="str">
        <x:v>Requirements Template_ENG.xlsx + current admin module database; SDE Timetable Requirements (2510).xlsx</x:v>
      </x:c>
      <x:c r="J63" s="165" t="n">
        <x:f>COUNTIFS('Input_Template'!$B$2:$B$226,A63,'Input_Template'!$E$2:$E$226,E63,'Input_Template'!$K$2:$K$226,"Online")+COUNTIFS('Input_Template'!$B$2:$B$226,A63,'Input_Template'!$E$2:$E$226,E63,'Input_Template'!$K$2:$K$226,"Asynchronous")</x:f>
        <x:v>0</x:v>
      </x:c>
      <x:c r="K63" s="165" t="n">
        <x:f>COUNTIFS('Input_Template'!$B$2:$B$226,A63,'Input_Template'!$E$2:$E$226,E63,'Input_Template'!$G$2:$G$226,"*lab*")</x:f>
        <x:v>0</x:v>
      </x:c>
      <x:c r="L63" s="165" t="n">
        <x:f>IF(G63=0,0,SUMIFS('Input_Template'!$N$2:$N$226,'Input_Template'!$B$2:$B$226,A63,'Input_Template'!$E$2:$E$226,E63)/G63)</x:f>
        <x:v>40</x:v>
      </x:c>
      <x:c r="M63" s="165" t="str">
        <x:f>IF(AND(G63&gt;=2,L63=D63),"PASS","REVIEW")</x:f>
        <x:v>PASS</x:v>
      </x:c>
      <x:c r="N63" s="165" t="str">
        <x:f>IF(K63=0,"No","REVIEW")</x:f>
        <x:v>No</x:v>
      </x:c>
    </x:row>
    <x:row r="64" ht="22" customHeight="1">
      <x:c r="A64" s="165" t="str">
        <x:v>ICT</x:v>
      </x:c>
      <x:c r="B64" s="165" t="n">
        <x:v>1</x:v>
      </x:c>
      <x:c r="C64" s="165" t="str">
        <x:v>ICT Y1 P1</x:v>
      </x:c>
      <x:c r="D64" s="165" t="n">
        <x:v>40</x:v>
      </x:c>
      <x:c r="E64" s="88" t="str">
        <x:v>ICT1012</x:v>
      </x:c>
      <x:c r="F64" s="165" t="str">
        <x:v>ICT1012</x:v>
      </x:c>
      <x:c r="G64" s="165" t="n">
        <x:f>COUNTIFS('Input_Template'!$B$2:$B$226,A64,'Input_Template'!$E$2:$E$226,E64)</x:f>
        <x:v>2</x:v>
      </x:c>
      <x:c r="H64" s="178" t="str">
        <x:v>General ENG pattern adapted</x:v>
      </x:c>
      <x:c r="I64" s="178" t="str">
        <x:v>Requirements Template_ENG.xlsx + current admin module database</x:v>
      </x:c>
      <x:c r="J64" s="165" t="n">
        <x:f>COUNTIFS('Input_Template'!$B$2:$B$226,A64,'Input_Template'!$E$2:$E$226,E64,'Input_Template'!$K$2:$K$226,"Online")+COUNTIFS('Input_Template'!$B$2:$B$226,A64,'Input_Template'!$E$2:$E$226,E64,'Input_Template'!$K$2:$K$226,"Asynchronous")</x:f>
        <x:v>1</x:v>
      </x:c>
      <x:c r="K64" s="165" t="n">
        <x:f>COUNTIFS('Input_Template'!$B$2:$B$226,A64,'Input_Template'!$E$2:$E$226,E64,'Input_Template'!$G$2:$G$226,"*lab*")</x:f>
        <x:v>0</x:v>
      </x:c>
      <x:c r="L64" s="165" t="n">
        <x:f>IF(G64=0,0,SUMIFS('Input_Template'!$N$2:$N$226,'Input_Template'!$B$2:$B$226,A64,'Input_Template'!$E$2:$E$226,E64)/G64)</x:f>
        <x:v>40</x:v>
      </x:c>
      <x:c r="M64" s="165" t="str">
        <x:f>IF(AND(G64&gt;=2,L64=D64),"PASS","REVIEW")</x:f>
        <x:v>PASS</x:v>
      </x:c>
      <x:c r="N64" s="165" t="str">
        <x:f>IF(K64=0,"No","REVIEW")</x:f>
        <x:v>No</x:v>
      </x:c>
    </x:row>
    <x:row r="65" ht="22" customHeight="1">
      <x:c r="A65" s="165" t="str">
        <x:v>ICT</x:v>
      </x:c>
      <x:c r="B65" s="165" t="n">
        <x:v>1</x:v>
      </x:c>
      <x:c r="C65" s="165" t="str">
        <x:v>ICT Y1 P1</x:v>
      </x:c>
      <x:c r="D65" s="165" t="n">
        <x:v>40</x:v>
      </x:c>
      <x:c r="E65" s="88" t="str">
        <x:v>ICT1013</x:v>
      </x:c>
      <x:c r="F65" s="165" t="str">
        <x:v>ICT1013</x:v>
      </x:c>
      <x:c r="G65" s="165" t="n">
        <x:f>COUNTIFS('Input_Template'!$B$2:$B$226,A65,'Input_Template'!$E$2:$E$226,E65)</x:f>
        <x:v>2</x:v>
      </x:c>
      <x:c r="H65" s="178" t="str">
        <x:v>General ENG pattern adapted</x:v>
      </x:c>
      <x:c r="I65" s="178" t="str">
        <x:v>Requirements Template_ENG.xlsx + current admin module database</x:v>
      </x:c>
      <x:c r="J65" s="165" t="n">
        <x:f>COUNTIFS('Input_Template'!$B$2:$B$226,A65,'Input_Template'!$E$2:$E$226,E65,'Input_Template'!$K$2:$K$226,"Online")+COUNTIFS('Input_Template'!$B$2:$B$226,A65,'Input_Template'!$E$2:$E$226,E65,'Input_Template'!$K$2:$K$226,"Asynchronous")</x:f>
        <x:v>0</x:v>
      </x:c>
      <x:c r="K65" s="165" t="n">
        <x:f>COUNTIFS('Input_Template'!$B$2:$B$226,A65,'Input_Template'!$E$2:$E$226,E65,'Input_Template'!$G$2:$G$226,"*lab*")</x:f>
        <x:v>0</x:v>
      </x:c>
      <x:c r="L65" s="165" t="n">
        <x:f>IF(G65=0,0,SUMIFS('Input_Template'!$N$2:$N$226,'Input_Template'!$B$2:$B$226,A65,'Input_Template'!$E$2:$E$226,E65)/G65)</x:f>
        <x:v>40</x:v>
      </x:c>
      <x:c r="M65" s="165" t="str">
        <x:f>IF(AND(G65&gt;=2,L65=D65),"PASS","REVIEW")</x:f>
        <x:v>PASS</x:v>
      </x:c>
      <x:c r="N65" s="165" t="str">
        <x:f>IF(K65=0,"No","REVIEW")</x:f>
        <x:v>No</x:v>
      </x:c>
    </x:row>
    <x:row r="66" ht="22" customHeight="1">
      <x:c r="A66" s="165" t="str">
        <x:v>ICT</x:v>
      </x:c>
      <x:c r="B66" s="165" t="n">
        <x:v>2</x:v>
      </x:c>
      <x:c r="C66" s="165" t="str">
        <x:v>ICT Y2 P1</x:v>
      </x:c>
      <x:c r="D66" s="165" t="n">
        <x:v>40</x:v>
      </x:c>
      <x:c r="E66" s="88" t="str">
        <x:v>ICT2112</x:v>
      </x:c>
      <x:c r="F66" s="165" t="str">
        <x:v>ICT2112</x:v>
      </x:c>
      <x:c r="G66" s="165" t="n">
        <x:f>COUNTIFS('Input_Template'!$B$2:$B$226,A66,'Input_Template'!$E$2:$E$226,E66)</x:f>
        <x:v>3</x:v>
      </x:c>
      <x:c r="H66" s="178" t="str">
        <x:v>General ENG pattern adapted</x:v>
      </x:c>
      <x:c r="I66" s="178" t="str">
        <x:v>Requirements Template_ENG.xlsx + current admin module database</x:v>
      </x:c>
      <x:c r="J66" s="165" t="n">
        <x:f>COUNTIFS('Input_Template'!$B$2:$B$226,A66,'Input_Template'!$E$2:$E$226,E66,'Input_Template'!$K$2:$K$226,"Online")+COUNTIFS('Input_Template'!$B$2:$B$226,A66,'Input_Template'!$E$2:$E$226,E66,'Input_Template'!$K$2:$K$226,"Asynchronous")</x:f>
        <x:v>0</x:v>
      </x:c>
      <x:c r="K66" s="165" t="n">
        <x:f>COUNTIFS('Input_Template'!$B$2:$B$226,A66,'Input_Template'!$E$2:$E$226,E66,'Input_Template'!$G$2:$G$226,"*lab*")</x:f>
        <x:v>0</x:v>
      </x:c>
      <x:c r="L66" s="165" t="n">
        <x:f>IF(G66=0,0,SUMIFS('Input_Template'!$N$2:$N$226,'Input_Template'!$B$2:$B$226,A66,'Input_Template'!$E$2:$E$226,E66)/G66)</x:f>
        <x:v>40</x:v>
      </x:c>
      <x:c r="M66" s="165" t="str">
        <x:f>IF(AND(G66&gt;=2,L66=D66),"PASS","REVIEW")</x:f>
        <x:v>PASS</x:v>
      </x:c>
      <x:c r="N66" s="165" t="str">
        <x:f>IF(K66=0,"No","REVIEW")</x:f>
        <x:v>No</x:v>
      </x:c>
    </x:row>
    <x:row r="67" ht="22" customHeight="1">
      <x:c r="A67" s="165" t="str">
        <x:v>ICT</x:v>
      </x:c>
      <x:c r="B67" s="165" t="n">
        <x:v>2</x:v>
      </x:c>
      <x:c r="C67" s="165" t="str">
        <x:v>ICT Y2 P1</x:v>
      </x:c>
      <x:c r="D67" s="165" t="n">
        <x:v>40</x:v>
      </x:c>
      <x:c r="E67" s="88" t="str">
        <x:v>ICT2113</x:v>
      </x:c>
      <x:c r="F67" s="165" t="str">
        <x:v>ICT2113</x:v>
      </x:c>
      <x:c r="G67" s="165" t="n">
        <x:f>COUNTIFS('Input_Template'!$B$2:$B$226,A67,'Input_Template'!$E$2:$E$226,E67)</x:f>
        <x:v>2</x:v>
      </x:c>
      <x:c r="H67" s="178" t="str">
        <x:v>General ENG pattern adapted</x:v>
      </x:c>
      <x:c r="I67" s="178" t="str">
        <x:v>Requirements Template_ENG.xlsx + current admin module database</x:v>
      </x:c>
      <x:c r="J67" s="165" t="n">
        <x:f>COUNTIFS('Input_Template'!$B$2:$B$226,A67,'Input_Template'!$E$2:$E$226,E67,'Input_Template'!$K$2:$K$226,"Online")+COUNTIFS('Input_Template'!$B$2:$B$226,A67,'Input_Template'!$E$2:$E$226,E67,'Input_Template'!$K$2:$K$226,"Asynchronous")</x:f>
        <x:v>0</x:v>
      </x:c>
      <x:c r="K67" s="165" t="n">
        <x:f>COUNTIFS('Input_Template'!$B$2:$B$226,A67,'Input_Template'!$E$2:$E$226,E67,'Input_Template'!$G$2:$G$226,"*lab*")</x:f>
        <x:v>0</x:v>
      </x:c>
      <x:c r="L67" s="165" t="n">
        <x:f>IF(G67=0,0,SUMIFS('Input_Template'!$N$2:$N$226,'Input_Template'!$B$2:$B$226,A67,'Input_Template'!$E$2:$E$226,E67)/G67)</x:f>
        <x:v>40</x:v>
      </x:c>
      <x:c r="M67" s="165" t="str">
        <x:f>IF(AND(G67&gt;=2,L67=D67),"PASS","REVIEW")</x:f>
        <x:v>PASS</x:v>
      </x:c>
      <x:c r="N67" s="165" t="str">
        <x:f>IF(K67=0,"No","REVIEW")</x:f>
        <x:v>No</x:v>
      </x:c>
    </x:row>
    <x:row r="68" ht="22" customHeight="1">
      <x:c r="A68" s="165" t="str">
        <x:v>ICT</x:v>
      </x:c>
      <x:c r="B68" s="165" t="n">
        <x:v>2</x:v>
      </x:c>
      <x:c r="C68" s="165" t="str">
        <x:v>ICT Y2 P1</x:v>
      </x:c>
      <x:c r="D68" s="165" t="n">
        <x:v>40</x:v>
      </x:c>
      <x:c r="E68" s="88" t="str">
        <x:v>ICT2114</x:v>
      </x:c>
      <x:c r="F68" s="165" t="str">
        <x:v>ICT2114</x:v>
      </x:c>
      <x:c r="G68" s="165" t="n">
        <x:f>COUNTIFS('Input_Template'!$B$2:$B$226,A68,'Input_Template'!$E$2:$E$226,E68)</x:f>
        <x:v>2</x:v>
      </x:c>
      <x:c r="H68" s="178" t="str">
        <x:v>General ENG pattern adapted</x:v>
      </x:c>
      <x:c r="I68" s="178" t="str">
        <x:v>Requirements Template_ENG.xlsx + current admin module database</x:v>
      </x:c>
      <x:c r="J68" s="165" t="n">
        <x:f>COUNTIFS('Input_Template'!$B$2:$B$226,A68,'Input_Template'!$E$2:$E$226,E68,'Input_Template'!$K$2:$K$226,"Online")+COUNTIFS('Input_Template'!$B$2:$B$226,A68,'Input_Template'!$E$2:$E$226,E68,'Input_Template'!$K$2:$K$226,"Asynchronous")</x:f>
        <x:v>0</x:v>
      </x:c>
      <x:c r="K68" s="165" t="n">
        <x:f>COUNTIFS('Input_Template'!$B$2:$B$226,A68,'Input_Template'!$E$2:$E$226,E68,'Input_Template'!$G$2:$G$226,"*lab*")</x:f>
        <x:v>0</x:v>
      </x:c>
      <x:c r="L68" s="165" t="n">
        <x:f>IF(G68=0,0,SUMIFS('Input_Template'!$N$2:$N$226,'Input_Template'!$B$2:$B$226,A68,'Input_Template'!$E$2:$E$226,E68)/G68)</x:f>
        <x:v>40</x:v>
      </x:c>
      <x:c r="M68" s="165" t="str">
        <x:f>IF(AND(G68&gt;=2,L68=D68),"PASS","REVIEW")</x:f>
        <x:v>PASS</x:v>
      </x:c>
      <x:c r="N68" s="165" t="str">
        <x:f>IF(K68=0,"No","REVIEW")</x:f>
        <x:v>No</x:v>
      </x:c>
    </x:row>
    <x:row r="69" ht="22" customHeight="1">
      <x:c r="A69" s="165" t="str">
        <x:v>MDME</x:v>
      </x:c>
      <x:c r="B69" s="165" t="n">
        <x:v>1</x:v>
      </x:c>
      <x:c r="C69" s="165" t="str">
        <x:v>MDME Y1 P1</x:v>
      </x:c>
      <x:c r="D69" s="165" t="n">
        <x:v>40</x:v>
      </x:c>
      <x:c r="E69" s="88" t="str">
        <x:v>MME1222</x:v>
      </x:c>
      <x:c r="F69" s="165" t="str">
        <x:v>MME1222</x:v>
      </x:c>
      <x:c r="G69" s="165" t="n">
        <x:f>COUNTIFS('Input_Template'!$B$2:$B$226,A69,'Input_Template'!$E$2:$E$226,E69)</x:f>
        <x:v>3</x:v>
      </x:c>
      <x:c r="H69" s="178" t="str">
        <x:v>Programme pattern adapted</x:v>
      </x:c>
      <x:c r="I69" s="178" t="str">
        <x:v>MDME_Year 1.xlsx</x:v>
      </x:c>
      <x:c r="J69" s="165" t="n">
        <x:f>COUNTIFS('Input_Template'!$B$2:$B$226,A69,'Input_Template'!$E$2:$E$226,E69,'Input_Template'!$K$2:$K$226,"Online")+COUNTIFS('Input_Template'!$B$2:$B$226,A69,'Input_Template'!$E$2:$E$226,E69,'Input_Template'!$K$2:$K$226,"Asynchronous")</x:f>
        <x:v>1</x:v>
      </x:c>
      <x:c r="K69" s="165" t="n">
        <x:f>COUNTIFS('Input_Template'!$B$2:$B$226,A69,'Input_Template'!$E$2:$E$226,E69,'Input_Template'!$G$2:$G$226,"*lab*")</x:f>
        <x:v>0</x:v>
      </x:c>
      <x:c r="L69" s="165" t="n">
        <x:f>IF(G69=0,0,SUMIFS('Input_Template'!$N$2:$N$226,'Input_Template'!$B$2:$B$226,A69,'Input_Template'!$E$2:$E$226,E69)/G69)</x:f>
        <x:v>40</x:v>
      </x:c>
      <x:c r="M69" s="165" t="str">
        <x:f>IF(AND(G69&gt;=2,L69=D69),"PASS","REVIEW")</x:f>
        <x:v>PASS</x:v>
      </x:c>
      <x:c r="N69" s="165" t="str">
        <x:f>IF(K69=0,"No","REVIEW")</x:f>
        <x:v>No</x:v>
      </x:c>
    </x:row>
    <x:row r="70" ht="22" customHeight="1">
      <x:c r="A70" s="165" t="str">
        <x:v>MDME</x:v>
      </x:c>
      <x:c r="B70" s="165" t="n">
        <x:v>1</x:v>
      </x:c>
      <x:c r="C70" s="165" t="str">
        <x:v>MDME Y1 P1</x:v>
      </x:c>
      <x:c r="D70" s="165" t="n">
        <x:v>40</x:v>
      </x:c>
      <x:c r="E70" s="88" t="str">
        <x:v>MME1262</x:v>
      </x:c>
      <x:c r="F70" s="165" t="str">
        <x:v>MME1262</x:v>
      </x:c>
      <x:c r="G70" s="165" t="n">
        <x:f>COUNTIFS('Input_Template'!$B$2:$B$226,A70,'Input_Template'!$E$2:$E$226,E70)</x:f>
        <x:v>2</x:v>
      </x:c>
      <x:c r="H70" s="178" t="str">
        <x:v>Programme pattern adapted</x:v>
      </x:c>
      <x:c r="I70" s="178" t="str">
        <x:v>MDME_Year 1.xlsx</x:v>
      </x:c>
      <x:c r="J70" s="165" t="n">
        <x:f>COUNTIFS('Input_Template'!$B$2:$B$226,A70,'Input_Template'!$E$2:$E$226,E70,'Input_Template'!$K$2:$K$226,"Online")+COUNTIFS('Input_Template'!$B$2:$B$226,A70,'Input_Template'!$E$2:$E$226,E70,'Input_Template'!$K$2:$K$226,"Asynchronous")</x:f>
        <x:v>0</x:v>
      </x:c>
      <x:c r="K70" s="165" t="n">
        <x:f>COUNTIFS('Input_Template'!$B$2:$B$226,A70,'Input_Template'!$E$2:$E$226,E70,'Input_Template'!$G$2:$G$226,"*lab*")</x:f>
        <x:v>0</x:v>
      </x:c>
      <x:c r="L70" s="165" t="n">
        <x:f>IF(G70=0,0,SUMIFS('Input_Template'!$N$2:$N$226,'Input_Template'!$B$2:$B$226,A70,'Input_Template'!$E$2:$E$226,E70)/G70)</x:f>
        <x:v>40</x:v>
      </x:c>
      <x:c r="M70" s="165" t="str">
        <x:f>IF(AND(G70&gt;=2,L70=D70),"PASS","REVIEW")</x:f>
        <x:v>PASS</x:v>
      </x:c>
      <x:c r="N70" s="165" t="str">
        <x:f>IF(K70=0,"No","REVIEW")</x:f>
        <x:v>No</x:v>
      </x:c>
    </x:row>
    <x:row r="71" ht="22" customHeight="1">
      <x:c r="A71" s="165" t="str">
        <x:v>MDME</x:v>
      </x:c>
      <x:c r="B71" s="165" t="n">
        <x:v>1</x:v>
      </x:c>
      <x:c r="C71" s="165" t="str">
        <x:v>MDME Y1 P1</x:v>
      </x:c>
      <x:c r="D71" s="165" t="n">
        <x:v>40</x:v>
      </x:c>
      <x:c r="E71" s="88" t="str">
        <x:v>MME1271</x:v>
      </x:c>
      <x:c r="F71" s="165" t="str">
        <x:v>MME1271</x:v>
      </x:c>
      <x:c r="G71" s="165" t="n">
        <x:f>COUNTIFS('Input_Template'!$B$2:$B$226,A71,'Input_Template'!$E$2:$E$226,E71)</x:f>
        <x:v>2</x:v>
      </x:c>
      <x:c r="H71" s="178" t="str">
        <x:v>Programme pattern adapted</x:v>
      </x:c>
      <x:c r="I71" s="178" t="str">
        <x:v>MDME_Year 2.xlsx</x:v>
      </x:c>
      <x:c r="J71" s="165" t="n">
        <x:f>COUNTIFS('Input_Template'!$B$2:$B$226,A71,'Input_Template'!$E$2:$E$226,E71,'Input_Template'!$K$2:$K$226,"Online")+COUNTIFS('Input_Template'!$B$2:$B$226,A71,'Input_Template'!$E$2:$E$226,E71,'Input_Template'!$K$2:$K$226,"Asynchronous")</x:f>
        <x:v>0</x:v>
      </x:c>
      <x:c r="K71" s="165" t="n">
        <x:f>COUNTIFS('Input_Template'!$B$2:$B$226,A71,'Input_Template'!$E$2:$E$226,E71,'Input_Template'!$G$2:$G$226,"*lab*")</x:f>
        <x:v>0</x:v>
      </x:c>
      <x:c r="L71" s="165" t="n">
        <x:f>IF(G71=0,0,SUMIFS('Input_Template'!$N$2:$N$226,'Input_Template'!$B$2:$B$226,A71,'Input_Template'!$E$2:$E$226,E71)/G71)</x:f>
        <x:v>40</x:v>
      </x:c>
      <x:c r="M71" s="165" t="str">
        <x:f>IF(AND(G71&gt;=2,L71=D71),"PASS","REVIEW")</x:f>
        <x:v>PASS</x:v>
      </x:c>
      <x:c r="N71" s="165" t="str">
        <x:f>IF(K71=0,"No","REVIEW")</x:f>
        <x:v>No</x:v>
      </x:c>
    </x:row>
    <x:row r="72" ht="22" customHeight="1">
      <x:c r="A72" s="165" t="str">
        <x:v>MDME</x:v>
      </x:c>
      <x:c r="B72" s="165" t="n">
        <x:v>3</x:v>
      </x:c>
      <x:c r="C72" s="165" t="str">
        <x:v>MDME Y3 P1</x:v>
      </x:c>
      <x:c r="D72" s="165" t="n">
        <x:v>40</x:v>
      </x:c>
      <x:c r="E72" s="88" t="str">
        <x:v>MME3201A</x:v>
      </x:c>
      <x:c r="F72" s="165" t="str">
        <x:v>MME3201A</x:v>
      </x:c>
      <x:c r="G72" s="165" t="n">
        <x:f>COUNTIFS('Input_Template'!$B$2:$B$226,A72,'Input_Template'!$E$2:$E$226,E72)</x:f>
        <x:v>2</x:v>
      </x:c>
      <x:c r="H72" s="178" t="str">
        <x:v>Exact historical module</x:v>
      </x:c>
      <x:c r="I72" s="178" t="str">
        <x:v>MDME_Year 1.xlsx; Requirements Template_ENG.xlsx + current admin module database</x:v>
      </x:c>
      <x:c r="J72" s="165" t="n">
        <x:f>COUNTIFS('Input_Template'!$B$2:$B$226,A72,'Input_Template'!$E$2:$E$226,E72,'Input_Template'!$K$2:$K$226,"Online")+COUNTIFS('Input_Template'!$B$2:$B$226,A72,'Input_Template'!$E$2:$E$226,E72,'Input_Template'!$K$2:$K$226,"Asynchronous")</x:f>
        <x:v>0</x:v>
      </x:c>
      <x:c r="K72" s="165" t="n">
        <x:f>COUNTIFS('Input_Template'!$B$2:$B$226,A72,'Input_Template'!$E$2:$E$226,E72,'Input_Template'!$G$2:$G$226,"*lab*")</x:f>
        <x:v>0</x:v>
      </x:c>
      <x:c r="L72" s="165" t="n">
        <x:f>IF(G72=0,0,SUMIFS('Input_Template'!$N$2:$N$226,'Input_Template'!$B$2:$B$226,A72,'Input_Template'!$E$2:$E$226,E72)/G72)</x:f>
        <x:v>40</x:v>
      </x:c>
      <x:c r="M72" s="165" t="str">
        <x:f>IF(AND(G72&gt;=2,L72=D72),"PASS","REVIEW")</x:f>
        <x:v>PASS</x:v>
      </x:c>
      <x:c r="N72" s="165" t="str">
        <x:f>IF(K72=0,"No","REVIEW")</x:f>
        <x:v>No</x:v>
      </x:c>
    </x:row>
    <x:row r="73" ht="22" customHeight="1">
      <x:c r="A73" s="165" t="str">
        <x:v>MDME</x:v>
      </x:c>
      <x:c r="B73" s="165" t="n">
        <x:v>3</x:v>
      </x:c>
      <x:c r="C73" s="165" t="str">
        <x:v>MDME Y3 P1</x:v>
      </x:c>
      <x:c r="D73" s="165" t="n">
        <x:v>40</x:v>
      </x:c>
      <x:c r="E73" s="88" t="str">
        <x:v>MME3291</x:v>
      </x:c>
      <x:c r="F73" s="165" t="str">
        <x:v>MME3291</x:v>
      </x:c>
      <x:c r="G73" s="165" t="n">
        <x:f>COUNTIFS('Input_Template'!$B$2:$B$226,A73,'Input_Template'!$E$2:$E$226,E73)</x:f>
        <x:v>2</x:v>
      </x:c>
      <x:c r="H73" s="178" t="str">
        <x:v>Exact historical module</x:v>
      </x:c>
      <x:c r="I73" s="178" t="str">
        <x:v>MDME_Year 3.xlsx; Requirements Template_ENG.xlsx + current admin module database</x:v>
      </x:c>
      <x:c r="J73" s="165" t="n">
        <x:f>COUNTIFS('Input_Template'!$B$2:$B$226,A73,'Input_Template'!$E$2:$E$226,E73,'Input_Template'!$K$2:$K$226,"Online")+COUNTIFS('Input_Template'!$B$2:$B$226,A73,'Input_Template'!$E$2:$E$226,E73,'Input_Template'!$K$2:$K$226,"Asynchronous")</x:f>
        <x:v>0</x:v>
      </x:c>
      <x:c r="K73" s="165" t="n">
        <x:f>COUNTIFS('Input_Template'!$B$2:$B$226,A73,'Input_Template'!$E$2:$E$226,E73,'Input_Template'!$G$2:$G$226,"*lab*")</x:f>
        <x:v>0</x:v>
      </x:c>
      <x:c r="L73" s="165" t="n">
        <x:f>IF(G73=0,0,SUMIFS('Input_Template'!$N$2:$N$226,'Input_Template'!$B$2:$B$226,A73,'Input_Template'!$E$2:$E$226,E73)/G73)</x:f>
        <x:v>40</x:v>
      </x:c>
      <x:c r="M73" s="165" t="str">
        <x:f>IF(AND(G73&gt;=2,L73=D73),"PASS","REVIEW")</x:f>
        <x:v>PASS</x:v>
      </x:c>
      <x:c r="N73" s="165" t="str">
        <x:f>IF(K73=0,"No","REVIEW")</x:f>
        <x:v>No</x:v>
      </x:c>
    </x:row>
    <x:row r="74" ht="22" customHeight="1">
      <x:c r="A74" s="165" t="str">
        <x:v>MEC</x:v>
      </x:c>
      <x:c r="B74" s="165" t="n">
        <x:v>1</x:v>
      </x:c>
      <x:c r="C74" s="165" t="str">
        <x:v>MEC Y1 P1</x:v>
      </x:c>
      <x:c r="D74" s="165" t="n">
        <x:v>40</x:v>
      </x:c>
      <x:c r="E74" s="88" t="str">
        <x:v>MEC1223</x:v>
      </x:c>
      <x:c r="F74" s="165" t="str">
        <x:v>MEC1223</x:v>
      </x:c>
      <x:c r="G74" s="165" t="n">
        <x:f>COUNTIFS('Input_Template'!$B$2:$B$226,A74,'Input_Template'!$E$2:$E$226,E74)</x:f>
        <x:v>3</x:v>
      </x:c>
      <x:c r="H74" s="178" t="str">
        <x:v>Programme pattern adapted</x:v>
      </x:c>
      <x:c r="I74" s="178" t="str">
        <x:v>MEC_Year 1_2510 Requirements.xlsx</x:v>
      </x:c>
      <x:c r="J74" s="165" t="n">
        <x:f>COUNTIFS('Input_Template'!$B$2:$B$226,A74,'Input_Template'!$E$2:$E$226,E74,'Input_Template'!$K$2:$K$226,"Online")+COUNTIFS('Input_Template'!$B$2:$B$226,A74,'Input_Template'!$E$2:$E$226,E74,'Input_Template'!$K$2:$K$226,"Asynchronous")</x:f>
        <x:v>1</x:v>
      </x:c>
      <x:c r="K74" s="165" t="n">
        <x:f>COUNTIFS('Input_Template'!$B$2:$B$226,A74,'Input_Template'!$E$2:$E$226,E74,'Input_Template'!$G$2:$G$226,"*lab*")</x:f>
        <x:v>0</x:v>
      </x:c>
      <x:c r="L74" s="165" t="n">
        <x:f>IF(G74=0,0,SUMIFS('Input_Template'!$N$2:$N$226,'Input_Template'!$B$2:$B$226,A74,'Input_Template'!$E$2:$E$226,E74)/G74)</x:f>
        <x:v>40</x:v>
      </x:c>
      <x:c r="M74" s="165" t="str">
        <x:f>IF(AND(G74&gt;=2,L74=D74),"PASS","REVIEW")</x:f>
        <x:v>PASS</x:v>
      </x:c>
      <x:c r="N74" s="165" t="str">
        <x:f>IF(K74=0,"No","REVIEW")</x:f>
        <x:v>No</x:v>
      </x:c>
    </x:row>
    <x:row r="75" ht="22" customHeight="1">
      <x:c r="A75" s="165" t="str">
        <x:v>MEC</x:v>
      </x:c>
      <x:c r="B75" s="165" t="n">
        <x:v>1</x:v>
      </x:c>
      <x:c r="C75" s="165" t="str">
        <x:v>MEC Y1 P1</x:v>
      </x:c>
      <x:c r="D75" s="165" t="n">
        <x:v>40</x:v>
      </x:c>
      <x:c r="E75" s="88" t="str">
        <x:v>MEC1241</x:v>
      </x:c>
      <x:c r="F75" s="165" t="str">
        <x:v>MEC1241</x:v>
      </x:c>
      <x:c r="G75" s="165" t="n">
        <x:f>COUNTIFS('Input_Template'!$B$2:$B$226,A75,'Input_Template'!$E$2:$E$226,E75)</x:f>
        <x:v>2</x:v>
      </x:c>
      <x:c r="H75" s="178" t="str">
        <x:v>Programme pattern adapted</x:v>
      </x:c>
      <x:c r="I75" s="178" t="str">
        <x:v>MEC_Year 1_2510 Requirements.xlsx</x:v>
      </x:c>
      <x:c r="J75" s="165" t="n">
        <x:f>COUNTIFS('Input_Template'!$B$2:$B$226,A75,'Input_Template'!$E$2:$E$226,E75,'Input_Template'!$K$2:$K$226,"Online")+COUNTIFS('Input_Template'!$B$2:$B$226,A75,'Input_Template'!$E$2:$E$226,E75,'Input_Template'!$K$2:$K$226,"Asynchronous")</x:f>
        <x:v>0</x:v>
      </x:c>
      <x:c r="K75" s="165" t="n">
        <x:f>COUNTIFS('Input_Template'!$B$2:$B$226,A75,'Input_Template'!$E$2:$E$226,E75,'Input_Template'!$G$2:$G$226,"*lab*")</x:f>
        <x:v>0</x:v>
      </x:c>
      <x:c r="L75" s="165" t="n">
        <x:f>IF(G75=0,0,SUMIFS('Input_Template'!$N$2:$N$226,'Input_Template'!$B$2:$B$226,A75,'Input_Template'!$E$2:$E$226,E75)/G75)</x:f>
        <x:v>40</x:v>
      </x:c>
      <x:c r="M75" s="165" t="str">
        <x:f>IF(AND(G75&gt;=2,L75=D75),"PASS","REVIEW")</x:f>
        <x:v>PASS</x:v>
      </x:c>
      <x:c r="N75" s="165" t="str">
        <x:f>IF(K75=0,"No","REVIEW")</x:f>
        <x:v>No</x:v>
      </x:c>
    </x:row>
    <x:row r="76" ht="22" customHeight="1">
      <x:c r="A76" s="165" t="str">
        <x:v>MEC</x:v>
      </x:c>
      <x:c r="B76" s="165" t="n">
        <x:v>2</x:v>
      </x:c>
      <x:c r="C76" s="165" t="str">
        <x:v>MEC Y2 P1</x:v>
      </x:c>
      <x:c r="D76" s="165" t="n">
        <x:v>40</x:v>
      </x:c>
      <x:c r="E76" s="88" t="str">
        <x:v>MEC2261</x:v>
      </x:c>
      <x:c r="F76" s="165" t="str">
        <x:v>MEC2261</x:v>
      </x:c>
      <x:c r="G76" s="165" t="n">
        <x:f>COUNTIFS('Input_Template'!$B$2:$B$226,A76,'Input_Template'!$E$2:$E$226,E76)</x:f>
        <x:v>2</x:v>
      </x:c>
      <x:c r="H76" s="178" t="str">
        <x:v>Programme pattern adapted</x:v>
      </x:c>
      <x:c r="I76" s="178" t="str">
        <x:v>MEC_Year 2_2510 Requirements.xlsx</x:v>
      </x:c>
      <x:c r="J76" s="165" t="n">
        <x:f>COUNTIFS('Input_Template'!$B$2:$B$226,A76,'Input_Template'!$E$2:$E$226,E76,'Input_Template'!$K$2:$K$226,"Online")+COUNTIFS('Input_Template'!$B$2:$B$226,A76,'Input_Template'!$E$2:$E$226,E76,'Input_Template'!$K$2:$K$226,"Asynchronous")</x:f>
        <x:v>0</x:v>
      </x:c>
      <x:c r="K76" s="165" t="n">
        <x:f>COUNTIFS('Input_Template'!$B$2:$B$226,A76,'Input_Template'!$E$2:$E$226,E76,'Input_Template'!$G$2:$G$226,"*lab*")</x:f>
        <x:v>0</x:v>
      </x:c>
      <x:c r="L76" s="165" t="n">
        <x:f>IF(G76=0,0,SUMIFS('Input_Template'!$N$2:$N$226,'Input_Template'!$B$2:$B$226,A76,'Input_Template'!$E$2:$E$226,E76)/G76)</x:f>
        <x:v>40</x:v>
      </x:c>
      <x:c r="M76" s="165" t="str">
        <x:f>IF(AND(G76&gt;=2,L76=D76),"PASS","REVIEW")</x:f>
        <x:v>PASS</x:v>
      </x:c>
      <x:c r="N76" s="165" t="str">
        <x:f>IF(K76=0,"No","REVIEW")</x:f>
        <x:v>No</x:v>
      </x:c>
    </x:row>
    <x:row r="77" ht="22" customHeight="1">
      <x:c r="A77" s="165" t="str">
        <x:v>MEC</x:v>
      </x:c>
      <x:c r="B77" s="165" t="n">
        <x:v>2</x:v>
      </x:c>
      <x:c r="C77" s="165" t="str">
        <x:v>MEC Y2 P1</x:v>
      </x:c>
      <x:c r="D77" s="165" t="n">
        <x:v>40</x:v>
      </x:c>
      <x:c r="E77" s="88" t="str">
        <x:v>MEC2282</x:v>
      </x:c>
      <x:c r="F77" s="165" t="str">
        <x:v>MEC2282</x:v>
      </x:c>
      <x:c r="G77" s="165" t="n">
        <x:f>COUNTIFS('Input_Template'!$B$2:$B$226,A77,'Input_Template'!$E$2:$E$226,E77)</x:f>
        <x:v>2</x:v>
      </x:c>
      <x:c r="H77" s="178" t="str">
        <x:v>Programme pattern adapted</x:v>
      </x:c>
      <x:c r="I77" s="178" t="str">
        <x:v>MEC_Year 2_2510 Requirements.xlsx</x:v>
      </x:c>
      <x:c r="J77" s="165" t="n">
        <x:f>COUNTIFS('Input_Template'!$B$2:$B$226,A77,'Input_Template'!$E$2:$E$226,E77,'Input_Template'!$K$2:$K$226,"Online")+COUNTIFS('Input_Template'!$B$2:$B$226,A77,'Input_Template'!$E$2:$E$226,E77,'Input_Template'!$K$2:$K$226,"Asynchronous")</x:f>
        <x:v>0</x:v>
      </x:c>
      <x:c r="K77" s="165" t="n">
        <x:f>COUNTIFS('Input_Template'!$B$2:$B$226,A77,'Input_Template'!$E$2:$E$226,E77,'Input_Template'!$G$2:$G$226,"*lab*")</x:f>
        <x:v>0</x:v>
      </x:c>
      <x:c r="L77" s="165" t="n">
        <x:f>IF(G77=0,0,SUMIFS('Input_Template'!$N$2:$N$226,'Input_Template'!$B$2:$B$226,A77,'Input_Template'!$E$2:$E$226,E77)/G77)</x:f>
        <x:v>40</x:v>
      </x:c>
      <x:c r="M77" s="165" t="str">
        <x:f>IF(AND(G77&gt;=2,L77=D77),"PASS","REVIEW")</x:f>
        <x:v>PASS</x:v>
      </x:c>
      <x:c r="N77" s="165" t="str">
        <x:f>IF(K77=0,"No","REVIEW")</x:f>
        <x:v>No</x:v>
      </x:c>
    </x:row>
    <x:row r="78" ht="22" customHeight="1">
      <x:c r="A78" s="165" t="str">
        <x:v>MEC</x:v>
      </x:c>
      <x:c r="B78" s="165" t="n">
        <x:v>3</x:v>
      </x:c>
      <x:c r="C78" s="165" t="str">
        <x:v>MEC Y3 P1</x:v>
      </x:c>
      <x:c r="D78" s="165" t="n">
        <x:v>40</x:v>
      </x:c>
      <x:c r="E78" s="88" t="str">
        <x:v>MEC3271</x:v>
      </x:c>
      <x:c r="F78" s="165" t="str">
        <x:v>MEC3271</x:v>
      </x:c>
      <x:c r="G78" s="165" t="n">
        <x:f>COUNTIFS('Input_Template'!$B$2:$B$226,A78,'Input_Template'!$E$2:$E$226,E78)</x:f>
        <x:v>2</x:v>
      </x:c>
      <x:c r="H78" s="178" t="str">
        <x:v>Programme pattern adapted</x:v>
      </x:c>
      <x:c r="I78" s="178" t="str">
        <x:v>MEC_Year 2_2510 Requirements.xlsx</x:v>
      </x:c>
      <x:c r="J78" s="165" t="n">
        <x:f>COUNTIFS('Input_Template'!$B$2:$B$226,A78,'Input_Template'!$E$2:$E$226,E78,'Input_Template'!$K$2:$K$226,"Online")+COUNTIFS('Input_Template'!$B$2:$B$226,A78,'Input_Template'!$E$2:$E$226,E78,'Input_Template'!$K$2:$K$226,"Asynchronous")</x:f>
        <x:v>0</x:v>
      </x:c>
      <x:c r="K78" s="165" t="n">
        <x:f>COUNTIFS('Input_Template'!$B$2:$B$226,A78,'Input_Template'!$E$2:$E$226,E78,'Input_Template'!$G$2:$G$226,"*lab*")</x:f>
        <x:v>0</x:v>
      </x:c>
      <x:c r="L78" s="165" t="n">
        <x:f>IF(G78=0,0,SUMIFS('Input_Template'!$N$2:$N$226,'Input_Template'!$B$2:$B$226,A78,'Input_Template'!$E$2:$E$226,E78)/G78)</x:f>
        <x:v>40</x:v>
      </x:c>
      <x:c r="M78" s="165" t="str">
        <x:f>IF(AND(G78&gt;=2,L78=D78),"PASS","REVIEW")</x:f>
        <x:v>PASS</x:v>
      </x:c>
      <x:c r="N78" s="165" t="str">
        <x:f>IF(K78=0,"No","REVIEW")</x:f>
        <x:v>No</x:v>
      </x:c>
    </x:row>
    <x:row r="79" ht="22" customHeight="1">
      <x:c r="A79" s="165" t="str">
        <x:v>NAME</x:v>
      </x:c>
      <x:c r="B79" s="165" t="n">
        <x:v>1</x:v>
      </x:c>
      <x:c r="C79" s="165" t="str">
        <x:v>NAME Y1 P1</x:v>
      </x:c>
      <x:c r="D79" s="165" t="n">
        <x:v>40</x:v>
      </x:c>
      <x:c r="E79" s="88" t="str">
        <x:v>NME1106</x:v>
      </x:c>
      <x:c r="F79" s="165" t="str">
        <x:v>NME1106</x:v>
      </x:c>
      <x:c r="G79" s="165" t="n">
        <x:f>COUNTIFS('Input_Template'!$B$2:$B$226,A79,'Input_Template'!$E$2:$E$226,E79)</x:f>
        <x:v>3</x:v>
      </x:c>
      <x:c r="H79" s="178" t="str">
        <x:v>Programme pattern adapted</x:v>
      </x:c>
      <x:c r="I79" s="178" t="str">
        <x:v>NAME_Year 1.xlsx</x:v>
      </x:c>
      <x:c r="J79" s="165" t="n">
        <x:f>COUNTIFS('Input_Template'!$B$2:$B$226,A79,'Input_Template'!$E$2:$E$226,E79,'Input_Template'!$K$2:$K$226,"Online")+COUNTIFS('Input_Template'!$B$2:$B$226,A79,'Input_Template'!$E$2:$E$226,E79,'Input_Template'!$K$2:$K$226,"Asynchronous")</x:f>
        <x:v>1</x:v>
      </x:c>
      <x:c r="K79" s="165" t="n">
        <x:f>COUNTIFS('Input_Template'!$B$2:$B$226,A79,'Input_Template'!$E$2:$E$226,E79,'Input_Template'!$G$2:$G$226,"*lab*")</x:f>
        <x:v>0</x:v>
      </x:c>
      <x:c r="L79" s="165" t="n">
        <x:f>IF(G79=0,0,SUMIFS('Input_Template'!$N$2:$N$226,'Input_Template'!$B$2:$B$226,A79,'Input_Template'!$E$2:$E$226,E79)/G79)</x:f>
        <x:v>40</x:v>
      </x:c>
      <x:c r="M79" s="165" t="str">
        <x:f>IF(AND(G79&gt;=2,L79=D79),"PASS","REVIEW")</x:f>
        <x:v>PASS</x:v>
      </x:c>
      <x:c r="N79" s="165" t="str">
        <x:f>IF(K79=0,"No","REVIEW")</x:f>
        <x:v>No</x:v>
      </x:c>
    </x:row>
    <x:row r="80" ht="22" customHeight="1">
      <x:c r="A80" s="165" t="str">
        <x:v>NAME</x:v>
      </x:c>
      <x:c r="B80" s="165" t="n">
        <x:v>1</x:v>
      </x:c>
      <x:c r="C80" s="165" t="str">
        <x:v>NAME Y1 P1</x:v>
      </x:c>
      <x:c r="D80" s="165" t="n">
        <x:v>40</x:v>
      </x:c>
      <x:c r="E80" s="88" t="str">
        <x:v>NME1108</x:v>
      </x:c>
      <x:c r="F80" s="165" t="str">
        <x:v>NME1108</x:v>
      </x:c>
      <x:c r="G80" s="165" t="n">
        <x:f>COUNTIFS('Input_Template'!$B$2:$B$226,A80,'Input_Template'!$E$2:$E$226,E80)</x:f>
        <x:v>2</x:v>
      </x:c>
      <x:c r="H80" s="178" t="str">
        <x:v>Programme pattern adapted</x:v>
      </x:c>
      <x:c r="I80" s="178" t="str">
        <x:v>NAME_Year 1.xlsx</x:v>
      </x:c>
      <x:c r="J80" s="165" t="n">
        <x:f>COUNTIFS('Input_Template'!$B$2:$B$226,A80,'Input_Template'!$E$2:$E$226,E80,'Input_Template'!$K$2:$K$226,"Online")+COUNTIFS('Input_Template'!$B$2:$B$226,A80,'Input_Template'!$E$2:$E$226,E80,'Input_Template'!$K$2:$K$226,"Asynchronous")</x:f>
        <x:v>0</x:v>
      </x:c>
      <x:c r="K80" s="165" t="n">
        <x:f>COUNTIFS('Input_Template'!$B$2:$B$226,A80,'Input_Template'!$E$2:$E$226,E80,'Input_Template'!$G$2:$G$226,"*lab*")</x:f>
        <x:v>0</x:v>
      </x:c>
      <x:c r="L80" s="165" t="n">
        <x:f>IF(G80=0,0,SUMIFS('Input_Template'!$N$2:$N$226,'Input_Template'!$B$2:$B$226,A80,'Input_Template'!$E$2:$E$226,E80)/G80)</x:f>
        <x:v>40</x:v>
      </x:c>
      <x:c r="M80" s="165" t="str">
        <x:f>IF(AND(G80&gt;=2,L80=D80),"PASS","REVIEW")</x:f>
        <x:v>PASS</x:v>
      </x:c>
      <x:c r="N80" s="165" t="str">
        <x:f>IF(K80=0,"No","REVIEW")</x:f>
        <x:v>No</x:v>
      </x:c>
    </x:row>
    <x:row r="81" ht="22" customHeight="1">
      <x:c r="A81" s="165" t="str">
        <x:v>NAME</x:v>
      </x:c>
      <x:c r="B81" s="165" t="n">
        <x:v>1</x:v>
      </x:c>
      <x:c r="C81" s="165" t="str">
        <x:v>NAME Y1 P1</x:v>
      </x:c>
      <x:c r="D81" s="165" t="n">
        <x:v>40</x:v>
      </x:c>
      <x:c r="E81" s="88" t="str">
        <x:v>NME1109</x:v>
      </x:c>
      <x:c r="F81" s="165" t="str">
        <x:v>NME1109</x:v>
      </x:c>
      <x:c r="G81" s="165" t="n">
        <x:f>COUNTIFS('Input_Template'!$B$2:$B$226,A81,'Input_Template'!$E$2:$E$226,E81)</x:f>
        <x:v>2</x:v>
      </x:c>
      <x:c r="H81" s="178" t="str">
        <x:v>Programme pattern adapted</x:v>
      </x:c>
      <x:c r="I81" s="178" t="str">
        <x:v>NAME_Year 1.xlsx</x:v>
      </x:c>
      <x:c r="J81" s="165" t="n">
        <x:f>COUNTIFS('Input_Template'!$B$2:$B$226,A81,'Input_Template'!$E$2:$E$226,E81,'Input_Template'!$K$2:$K$226,"Online")+COUNTIFS('Input_Template'!$B$2:$B$226,A81,'Input_Template'!$E$2:$E$226,E81,'Input_Template'!$K$2:$K$226,"Asynchronous")</x:f>
        <x:v>0</x:v>
      </x:c>
      <x:c r="K81" s="165" t="n">
        <x:f>COUNTIFS('Input_Template'!$B$2:$B$226,A81,'Input_Template'!$E$2:$E$226,E81,'Input_Template'!$G$2:$G$226,"*lab*")</x:f>
        <x:v>0</x:v>
      </x:c>
      <x:c r="L81" s="165" t="n">
        <x:f>IF(G81=0,0,SUMIFS('Input_Template'!$N$2:$N$226,'Input_Template'!$B$2:$B$226,A81,'Input_Template'!$E$2:$E$226,E81)/G81)</x:f>
        <x:v>40</x:v>
      </x:c>
      <x:c r="M81" s="165" t="str">
        <x:f>IF(AND(G81&gt;=2,L81=D81),"PASS","REVIEW")</x:f>
        <x:v>PASS</x:v>
      </x:c>
      <x:c r="N81" s="165" t="str">
        <x:f>IF(K81=0,"No","REVIEW")</x:f>
        <x:v>No</x:v>
      </x:c>
    </x:row>
    <x:row r="82" ht="22" customHeight="1">
      <x:c r="A82" s="165" t="str">
        <x:v>NAME</x:v>
      </x:c>
      <x:c r="B82" s="165" t="n">
        <x:v>2</x:v>
      </x:c>
      <x:c r="C82" s="165" t="str">
        <x:v>NAME Y2 P1</x:v>
      </x:c>
      <x:c r="D82" s="165" t="n">
        <x:v>40</x:v>
      </x:c>
      <x:c r="E82" s="88" t="str">
        <x:v>NME2104</x:v>
      </x:c>
      <x:c r="F82" s="165" t="str">
        <x:v>NME2104</x:v>
      </x:c>
      <x:c r="G82" s="165" t="n">
        <x:f>COUNTIFS('Input_Template'!$B$2:$B$226,A82,'Input_Template'!$E$2:$E$226,E82)</x:f>
        <x:v>2</x:v>
      </x:c>
      <x:c r="H82" s="178" t="str">
        <x:v>Programme pattern adapted</x:v>
      </x:c>
      <x:c r="I82" s="178" t="str">
        <x:v>NAME_Year 2.xlsx; Requirements Template_ENG.xlsx + current admin module database</x:v>
      </x:c>
      <x:c r="J82" s="165" t="n">
        <x:f>COUNTIFS('Input_Template'!$B$2:$B$226,A82,'Input_Template'!$E$2:$E$226,E82,'Input_Template'!$K$2:$K$226,"Online")+COUNTIFS('Input_Template'!$B$2:$B$226,A82,'Input_Template'!$E$2:$E$226,E82,'Input_Template'!$K$2:$K$226,"Asynchronous")</x:f>
        <x:v>0</x:v>
      </x:c>
      <x:c r="K82" s="165" t="n">
        <x:f>COUNTIFS('Input_Template'!$B$2:$B$226,A82,'Input_Template'!$E$2:$E$226,E82,'Input_Template'!$G$2:$G$226,"*lab*")</x:f>
        <x:v>0</x:v>
      </x:c>
      <x:c r="L82" s="165" t="n">
        <x:f>IF(G82=0,0,SUMIFS('Input_Template'!$N$2:$N$226,'Input_Template'!$B$2:$B$226,A82,'Input_Template'!$E$2:$E$226,E82)/G82)</x:f>
        <x:v>40</x:v>
      </x:c>
      <x:c r="M82" s="165" t="str">
        <x:f>IF(AND(G82&gt;=2,L82=D82),"PASS","REVIEW")</x:f>
        <x:v>PASS</x:v>
      </x:c>
      <x:c r="N82" s="165" t="str">
        <x:f>IF(K82=0,"No","REVIEW")</x:f>
        <x:v>No</x:v>
      </x:c>
    </x:row>
    <x:row r="83" ht="22" customHeight="1">
      <x:c r="A83" s="165" t="str">
        <x:v>NAME</x:v>
      </x:c>
      <x:c r="B83" s="165" t="n">
        <x:v>2</x:v>
      </x:c>
      <x:c r="C83" s="165" t="str">
        <x:v>NAME Y2 P1</x:v>
      </x:c>
      <x:c r="D83" s="165" t="n">
        <x:v>40</x:v>
      </x:c>
      <x:c r="E83" s="88" t="str">
        <x:v>NME2106</x:v>
      </x:c>
      <x:c r="F83" s="165" t="str">
        <x:v>NME2106</x:v>
      </x:c>
      <x:c r="G83" s="165" t="n">
        <x:f>COUNTIFS('Input_Template'!$B$2:$B$226,A83,'Input_Template'!$E$2:$E$226,E83)</x:f>
        <x:v>2</x:v>
      </x:c>
      <x:c r="H83" s="178" t="str">
        <x:v>Programme pattern adapted</x:v>
      </x:c>
      <x:c r="I83" s="178" t="str">
        <x:v>NAME_Year 2.xlsx</x:v>
      </x:c>
      <x:c r="J83" s="165" t="n">
        <x:f>COUNTIFS('Input_Template'!$B$2:$B$226,A83,'Input_Template'!$E$2:$E$226,E83,'Input_Template'!$K$2:$K$226,"Online")+COUNTIFS('Input_Template'!$B$2:$B$226,A83,'Input_Template'!$E$2:$E$226,E83,'Input_Template'!$K$2:$K$226,"Asynchronous")</x:f>
        <x:v>0</x:v>
      </x:c>
      <x:c r="K83" s="165" t="n">
        <x:f>COUNTIFS('Input_Template'!$B$2:$B$226,A83,'Input_Template'!$E$2:$E$226,E83,'Input_Template'!$G$2:$G$226,"*lab*")</x:f>
        <x:v>0</x:v>
      </x:c>
      <x:c r="L83" s="165" t="n">
        <x:f>IF(G83=0,0,SUMIFS('Input_Template'!$N$2:$N$226,'Input_Template'!$B$2:$B$226,A83,'Input_Template'!$E$2:$E$226,E83)/G83)</x:f>
        <x:v>40</x:v>
      </x:c>
      <x:c r="M83" s="165" t="str">
        <x:f>IF(AND(G83&gt;=2,L83=D83),"PASS","REVIEW")</x:f>
        <x:v>PASS</x:v>
      </x:c>
      <x:c r="N83" s="165" t="str">
        <x:f>IF(K83=0,"No","REVIEW")</x:f>
        <x:v>No</x:v>
      </x:c>
    </x:row>
    <x:row r="84" ht="22" customHeight="1">
      <x:c r="A84" s="165" t="str">
        <x:v>RSE</x:v>
      </x:c>
      <x:c r="B84" s="165" t="n">
        <x:v>1</x:v>
      </x:c>
      <x:c r="C84" s="165" t="str">
        <x:v>RSE Y1 P1</x:v>
      </x:c>
      <x:c r="D84" s="165" t="n">
        <x:v>40</x:v>
      </x:c>
      <x:c r="E84" s="88" t="str">
        <x:v>RSE1102</x:v>
      </x:c>
      <x:c r="F84" s="165" t="str">
        <x:v>RSE1102</x:v>
      </x:c>
      <x:c r="G84" s="165" t="n">
        <x:f>COUNTIFS('Input_Template'!$B$2:$B$226,A84,'Input_Template'!$E$2:$E$226,E84)</x:f>
        <x:v>2</x:v>
      </x:c>
      <x:c r="H84" s="178" t="str">
        <x:v>Programme pattern adapted</x:v>
      </x:c>
      <x:c r="I84" s="178" t="str">
        <x:v>RSE_Year1.xlsx; Requirements Template_ENG.xlsx + current admin module database</x:v>
      </x:c>
      <x:c r="J84" s="165" t="n">
        <x:f>COUNTIFS('Input_Template'!$B$2:$B$226,A84,'Input_Template'!$E$2:$E$226,E84,'Input_Template'!$K$2:$K$226,"Online")+COUNTIFS('Input_Template'!$B$2:$B$226,A84,'Input_Template'!$E$2:$E$226,E84,'Input_Template'!$K$2:$K$226,"Asynchronous")</x:f>
        <x:v>0</x:v>
      </x:c>
      <x:c r="K84" s="165" t="n">
        <x:f>COUNTIFS('Input_Template'!$B$2:$B$226,A84,'Input_Template'!$E$2:$E$226,E84,'Input_Template'!$G$2:$G$226,"*lab*")</x:f>
        <x:v>0</x:v>
      </x:c>
      <x:c r="L84" s="165" t="n">
        <x:f>IF(G84=0,0,SUMIFS('Input_Template'!$N$2:$N$226,'Input_Template'!$B$2:$B$226,A84,'Input_Template'!$E$2:$E$226,E84)/G84)</x:f>
        <x:v>40</x:v>
      </x:c>
      <x:c r="M84" s="165" t="str">
        <x:f>IF(AND(G84&gt;=2,L84=D84),"PASS","REVIEW")</x:f>
        <x:v>PASS</x:v>
      </x:c>
      <x:c r="N84" s="165" t="str">
        <x:f>IF(K84=0,"No","REVIEW")</x:f>
        <x:v>No</x:v>
      </x:c>
    </x:row>
    <x:row r="85" ht="22" customHeight="1">
      <x:c r="A85" s="165" t="str">
        <x:v>RSE</x:v>
      </x:c>
      <x:c r="B85" s="165" t="n">
        <x:v>1</x:v>
      </x:c>
      <x:c r="C85" s="165" t="str">
        <x:v>RSE Y1 P1</x:v>
      </x:c>
      <x:c r="D85" s="165" t="n">
        <x:v>40</x:v>
      </x:c>
      <x:c r="E85" s="88" t="str">
        <x:v>RSE1202</x:v>
      </x:c>
      <x:c r="F85" s="165" t="str">
        <x:v>RSE1202</x:v>
      </x:c>
      <x:c r="G85" s="165" t="n">
        <x:f>COUNTIFS('Input_Template'!$B$2:$B$226,A85,'Input_Template'!$E$2:$E$226,E85)</x:f>
        <x:v>3</x:v>
      </x:c>
      <x:c r="H85" s="178" t="str">
        <x:v>Programme pattern adapted</x:v>
      </x:c>
      <x:c r="I85" s="178" t="str">
        <x:v>RSE_Year1.xlsx; Requirements Template_ENG.xlsx + current admin module database</x:v>
      </x:c>
      <x:c r="J85" s="165" t="n">
        <x:f>COUNTIFS('Input_Template'!$B$2:$B$226,A85,'Input_Template'!$E$2:$E$226,E85,'Input_Template'!$K$2:$K$226,"Online")+COUNTIFS('Input_Template'!$B$2:$B$226,A85,'Input_Template'!$E$2:$E$226,E85,'Input_Template'!$K$2:$K$226,"Asynchronous")</x:f>
        <x:v>0</x:v>
      </x:c>
      <x:c r="K85" s="165" t="n">
        <x:f>COUNTIFS('Input_Template'!$B$2:$B$226,A85,'Input_Template'!$E$2:$E$226,E85,'Input_Template'!$G$2:$G$226,"*lab*")</x:f>
        <x:v>0</x:v>
      </x:c>
      <x:c r="L85" s="165" t="n">
        <x:f>IF(G85=0,0,SUMIFS('Input_Template'!$N$2:$N$226,'Input_Template'!$B$2:$B$226,A85,'Input_Template'!$E$2:$E$226,E85)/G85)</x:f>
        <x:v>40</x:v>
      </x:c>
      <x:c r="M85" s="165" t="str">
        <x:f>IF(AND(G85&gt;=2,L85=D85),"PASS","REVIEW")</x:f>
        <x:v>PASS</x:v>
      </x:c>
      <x:c r="N85" s="165" t="str">
        <x:f>IF(K85=0,"No","REVIEW")</x:f>
        <x:v>No</x:v>
      </x:c>
    </x:row>
    <x:row r="86" ht="22" customHeight="1">
      <x:c r="A86" s="165" t="str">
        <x:v>RSE</x:v>
      </x:c>
      <x:c r="B86" s="165" t="n">
        <x:v>1</x:v>
      </x:c>
      <x:c r="C86" s="165" t="str">
        <x:v>RSE Y1 P1</x:v>
      </x:c>
      <x:c r="D86" s="165" t="n">
        <x:v>40</x:v>
      </x:c>
      <x:c r="E86" s="88" t="str">
        <x:v>RSE1801</x:v>
      </x:c>
      <x:c r="F86" s="165" t="str">
        <x:v>RSE1801</x:v>
      </x:c>
      <x:c r="G86" s="165" t="n">
        <x:f>COUNTIFS('Input_Template'!$B$2:$B$226,A86,'Input_Template'!$E$2:$E$226,E86)</x:f>
        <x:v>2</x:v>
      </x:c>
      <x:c r="H86" s="178" t="str">
        <x:v>Programme pattern adapted</x:v>
      </x:c>
      <x:c r="I86" s="178" t="str">
        <x:v>RSE_Year2.xlsx</x:v>
      </x:c>
      <x:c r="J86" s="165" t="n">
        <x:f>COUNTIFS('Input_Template'!$B$2:$B$226,A86,'Input_Template'!$E$2:$E$226,E86,'Input_Template'!$K$2:$K$226,"Online")+COUNTIFS('Input_Template'!$B$2:$B$226,A86,'Input_Template'!$E$2:$E$226,E86,'Input_Template'!$K$2:$K$226,"Asynchronous")</x:f>
        <x:v>0</x:v>
      </x:c>
      <x:c r="K86" s="165" t="n">
        <x:f>COUNTIFS('Input_Template'!$B$2:$B$226,A86,'Input_Template'!$E$2:$E$226,E86,'Input_Template'!$G$2:$G$226,"*lab*")</x:f>
        <x:v>0</x:v>
      </x:c>
      <x:c r="L86" s="165" t="n">
        <x:f>IF(G86=0,0,SUMIFS('Input_Template'!$N$2:$N$226,'Input_Template'!$B$2:$B$226,A86,'Input_Template'!$E$2:$E$226,E86)/G86)</x:f>
        <x:v>40</x:v>
      </x:c>
      <x:c r="M86" s="165" t="str">
        <x:f>IF(AND(G86&gt;=2,L86=D86),"PASS","REVIEW")</x:f>
        <x:v>PASS</x:v>
      </x:c>
      <x:c r="N86" s="165" t="str">
        <x:f>IF(K86=0,"No","REVIEW")</x:f>
        <x:v>No</x:v>
      </x:c>
    </x:row>
    <x:row r="87" ht="22" customHeight="1">
      <x:c r="A87" s="165" t="str">
        <x:v>RSE</x:v>
      </x:c>
      <x:c r="B87" s="165" t="n">
        <x:v>3</x:v>
      </x:c>
      <x:c r="C87" s="165" t="str">
        <x:v>RSE Y3 P1</x:v>
      </x:c>
      <x:c r="D87" s="165" t="n">
        <x:v>40</x:v>
      </x:c>
      <x:c r="E87" s="88" t="str">
        <x:v>RSE3601A</x:v>
      </x:c>
      <x:c r="F87" s="165" t="str">
        <x:v>RSE3601A</x:v>
      </x:c>
      <x:c r="G87" s="165" t="n">
        <x:f>COUNTIFS('Input_Template'!$B$2:$B$226,A87,'Input_Template'!$E$2:$E$226,E87)</x:f>
        <x:v>2</x:v>
      </x:c>
      <x:c r="H87" s="178" t="str">
        <x:v>Exact historical module</x:v>
      </x:c>
      <x:c r="I87" s="178" t="str">
        <x:v>RSE_Year1.xlsx; Requirements Template_ENG.xlsx + current admin module database</x:v>
      </x:c>
      <x:c r="J87" s="165" t="n">
        <x:f>COUNTIFS('Input_Template'!$B$2:$B$226,A87,'Input_Template'!$E$2:$E$226,E87,'Input_Template'!$K$2:$K$226,"Online")+COUNTIFS('Input_Template'!$B$2:$B$226,A87,'Input_Template'!$E$2:$E$226,E87,'Input_Template'!$K$2:$K$226,"Asynchronous")</x:f>
        <x:v>0</x:v>
      </x:c>
      <x:c r="K87" s="165" t="n">
        <x:f>COUNTIFS('Input_Template'!$B$2:$B$226,A87,'Input_Template'!$E$2:$E$226,E87,'Input_Template'!$G$2:$G$226,"*lab*")</x:f>
        <x:v>0</x:v>
      </x:c>
      <x:c r="L87" s="165" t="n">
        <x:f>IF(G87=0,0,SUMIFS('Input_Template'!$N$2:$N$226,'Input_Template'!$B$2:$B$226,A87,'Input_Template'!$E$2:$E$226,E87)/G87)</x:f>
        <x:v>40</x:v>
      </x:c>
      <x:c r="M87" s="165" t="str">
        <x:f>IF(AND(G87&gt;=2,L87=D87),"PASS","REVIEW")</x:f>
        <x:v>PASS</x:v>
      </x:c>
      <x:c r="N87" s="165" t="str">
        <x:f>IF(K87=0,"No","REVIEW")</x:f>
        <x:v>No</x:v>
      </x:c>
    </x:row>
    <x:row r="88" ht="22" customHeight="1">
      <x:c r="A88" s="165" t="str">
        <x:v>RSE</x:v>
      </x:c>
      <x:c r="B88" s="165" t="n">
        <x:v>3</x:v>
      </x:c>
      <x:c r="C88" s="165" t="str">
        <x:v>RSE Y3 P1</x:v>
      </x:c>
      <x:c r="D88" s="165" t="n">
        <x:v>40</x:v>
      </x:c>
      <x:c r="E88" s="88" t="str">
        <x:v>RSE3601B</x:v>
      </x:c>
      <x:c r="F88" s="165" t="str">
        <x:v>RSE3601B</x:v>
      </x:c>
      <x:c r="G88" s="165" t="n">
        <x:f>COUNTIFS('Input_Template'!$B$2:$B$226,A88,'Input_Template'!$E$2:$E$226,E88)</x:f>
        <x:v>2</x:v>
      </x:c>
      <x:c r="H88" s="178" t="str">
        <x:v>Programme pattern adapted</x:v>
      </x:c>
      <x:c r="I88" s="178" t="str">
        <x:v>RSE_Year2.xlsx; Requirements Template_ENG.xlsx + current admin module database</x:v>
      </x:c>
      <x:c r="J88" s="165" t="n">
        <x:f>COUNTIFS('Input_Template'!$B$2:$B$226,A88,'Input_Template'!$E$2:$E$226,E88,'Input_Template'!$K$2:$K$226,"Online")+COUNTIFS('Input_Template'!$B$2:$B$226,A88,'Input_Template'!$E$2:$E$226,E88,'Input_Template'!$K$2:$K$226,"Asynchronous")</x:f>
        <x:v>0</x:v>
      </x:c>
      <x:c r="K88" s="165" t="n">
        <x:f>COUNTIFS('Input_Template'!$B$2:$B$226,A88,'Input_Template'!$E$2:$E$226,E88,'Input_Template'!$G$2:$G$226,"*lab*")</x:f>
        <x:v>0</x:v>
      </x:c>
      <x:c r="L88" s="165" t="n">
        <x:f>IF(G88=0,0,SUMIFS('Input_Template'!$N$2:$N$226,'Input_Template'!$B$2:$B$226,A88,'Input_Template'!$E$2:$E$226,E88)/G88)</x:f>
        <x:v>40</x:v>
      </x:c>
      <x:c r="M88" s="165" t="str">
        <x:f>IF(AND(G88&gt;=2,L88=D88),"PASS","REVIEW")</x:f>
        <x:v>PASS</x:v>
      </x:c>
      <x:c r="N88" s="165" t="str">
        <x:f>IF(K88=0,"No","REVIEW")</x:f>
        <x:v>No</x:v>
      </x:c>
    </x:row>
    <x:row r="89" ht="22" customHeight="1">
      <x:c r="A89" s="165" t="str">
        <x:v>SBE</x:v>
      </x:c>
      <x:c r="B89" s="165" t="n">
        <x:v>1</x:v>
      </x:c>
      <x:c r="C89" s="165" t="str">
        <x:v>SBE Y1 P1</x:v>
      </x:c>
      <x:c r="D89" s="165" t="n">
        <x:v>40</x:v>
      </x:c>
      <x:c r="E89" s="88" t="str">
        <x:v>SBE1101</x:v>
      </x:c>
      <x:c r="F89" s="165" t="str">
        <x:v>SBE1101</x:v>
      </x:c>
      <x:c r="G89" s="165" t="n">
        <x:f>COUNTIFS('Input_Template'!$B$2:$B$226,A89,'Input_Template'!$E$2:$E$226,E89)</x:f>
        <x:v>5</x:v>
      </x:c>
      <x:c r="H89" s="178" t="str">
        <x:v>Exact historical module</x:v>
      </x:c>
      <x:c r="I89" s="178" t="str">
        <x:v>SBE Year 1.xlsx</x:v>
      </x:c>
      <x:c r="J89" s="165" t="n">
        <x:f>COUNTIFS('Input_Template'!$B$2:$B$226,A89,'Input_Template'!$E$2:$E$226,E89,'Input_Template'!$K$2:$K$226,"Online")+COUNTIFS('Input_Template'!$B$2:$B$226,A89,'Input_Template'!$E$2:$E$226,E89,'Input_Template'!$K$2:$K$226,"Asynchronous")</x:f>
        <x:v>2</x:v>
      </x:c>
      <x:c r="K89" s="165" t="n">
        <x:f>COUNTIFS('Input_Template'!$B$2:$B$226,A89,'Input_Template'!$E$2:$E$226,E89,'Input_Template'!$G$2:$G$226,"*lab*")</x:f>
        <x:v>0</x:v>
      </x:c>
      <x:c r="L89" s="165" t="n">
        <x:f>IF(G89=0,0,SUMIFS('Input_Template'!$N$2:$N$226,'Input_Template'!$B$2:$B$226,A89,'Input_Template'!$E$2:$E$226,E89)/G89)</x:f>
        <x:v>40</x:v>
      </x:c>
      <x:c r="M89" s="165" t="str">
        <x:f>IF(AND(G89&gt;=2,L89=D89),"PASS","REVIEW")</x:f>
        <x:v>PASS</x:v>
      </x:c>
      <x:c r="N89" s="165" t="str">
        <x:f>IF(K89=0,"No","REVIEW")</x:f>
        <x:v>No</x:v>
      </x:c>
    </x:row>
    <x:row r="90" ht="22" customHeight="1">
      <x:c r="A90" s="165" t="str">
        <x:v>SBE</x:v>
      </x:c>
      <x:c r="B90" s="165" t="n">
        <x:v>3</x:v>
      </x:c>
      <x:c r="C90" s="165" t="str">
        <x:v>SBE Y3 P1</x:v>
      </x:c>
      <x:c r="D90" s="165" t="n">
        <x:v>40</x:v>
      </x:c>
      <x:c r="E90" s="88" t="str">
        <x:v>SBE3113A</x:v>
      </x:c>
      <x:c r="F90" s="165" t="str">
        <x:v>SBE3113A</x:v>
      </x:c>
      <x:c r="G90" s="165" t="n">
        <x:f>COUNTIFS('Input_Template'!$B$2:$B$226,A90,'Input_Template'!$E$2:$E$226,E90)</x:f>
        <x:v>2</x:v>
      </x:c>
      <x:c r="H90" s="178" t="str">
        <x:v>Exact historical module</x:v>
      </x:c>
      <x:c r="I90" s="178" t="str">
        <x:v>Requirements Template_ENG.xlsx + current admin module database; SBE Year 1.xlsx</x:v>
      </x:c>
      <x:c r="J90" s="165" t="n">
        <x:f>COUNTIFS('Input_Template'!$B$2:$B$226,A90,'Input_Template'!$E$2:$E$226,E90,'Input_Template'!$K$2:$K$226,"Online")+COUNTIFS('Input_Template'!$B$2:$B$226,A90,'Input_Template'!$E$2:$E$226,E90,'Input_Template'!$K$2:$K$226,"Asynchronous")</x:f>
        <x:v>0</x:v>
      </x:c>
      <x:c r="K90" s="165" t="n">
        <x:f>COUNTIFS('Input_Template'!$B$2:$B$226,A90,'Input_Template'!$E$2:$E$226,E90,'Input_Template'!$G$2:$G$226,"*lab*")</x:f>
        <x:v>0</x:v>
      </x:c>
      <x:c r="L90" s="165" t="n">
        <x:f>IF(G90=0,0,SUMIFS('Input_Template'!$N$2:$N$226,'Input_Template'!$B$2:$B$226,A90,'Input_Template'!$E$2:$E$226,E90)/G90)</x:f>
        <x:v>40</x:v>
      </x:c>
      <x:c r="M90" s="165" t="str">
        <x:f>IF(AND(G90&gt;=2,L90=D90),"PASS","REVIEW")</x:f>
        <x:v>PASS</x:v>
      </x:c>
      <x:c r="N90" s="165" t="str">
        <x:f>IF(K90=0,"No","REVIEW")</x:f>
        <x:v>No</x:v>
      </x:c>
    </x:row>
    <x:row r="91" ht="22" customHeight="1">
      <x:c r="A91" s="165" t="str">
        <x:v>SBE</x:v>
      </x:c>
      <x:c r="B91" s="165" t="n">
        <x:v>3</x:v>
      </x:c>
      <x:c r="C91" s="165" t="str">
        <x:v>SBE Y3 P1</x:v>
      </x:c>
      <x:c r="D91" s="165" t="n">
        <x:v>40</x:v>
      </x:c>
      <x:c r="E91" s="88" t="str">
        <x:v>SBE3124</x:v>
      </x:c>
      <x:c r="F91" s="165" t="str">
        <x:v>SBE3124</x:v>
      </x:c>
      <x:c r="G91" s="165" t="n">
        <x:f>COUNTIFS('Input_Template'!$B$2:$B$226,A91,'Input_Template'!$E$2:$E$226,E91)</x:f>
        <x:v>2</x:v>
      </x:c>
      <x:c r="H91" s="178" t="str">
        <x:v>Exact historical module</x:v>
      </x:c>
      <x:c r="I91" s="178" t="str">
        <x:v>SBE Year 3.xlsx</x:v>
      </x:c>
      <x:c r="J91" s="165" t="n">
        <x:f>COUNTIFS('Input_Template'!$B$2:$B$226,A91,'Input_Template'!$E$2:$E$226,E91,'Input_Template'!$K$2:$K$226,"Online")+COUNTIFS('Input_Template'!$B$2:$B$226,A91,'Input_Template'!$E$2:$E$226,E91,'Input_Template'!$K$2:$K$226,"Asynchronous")</x:f>
        <x:v>0</x:v>
      </x:c>
      <x:c r="K91" s="165" t="n">
        <x:f>COUNTIFS('Input_Template'!$B$2:$B$226,A91,'Input_Template'!$E$2:$E$226,E91,'Input_Template'!$G$2:$G$226,"*lab*")</x:f>
        <x:v>0</x:v>
      </x:c>
      <x:c r="L91" s="165" t="n">
        <x:f>IF(G91=0,0,SUMIFS('Input_Template'!$N$2:$N$226,'Input_Template'!$B$2:$B$226,A91,'Input_Template'!$E$2:$E$226,E91)/G91)</x:f>
        <x:v>40</x:v>
      </x:c>
      <x:c r="M91" s="165" t="str">
        <x:f>IF(AND(G91&gt;=2,L91=D91),"PASS","REVIEW")</x:f>
        <x:v>PASS</x:v>
      </x:c>
      <x:c r="N91" s="165" t="str">
        <x:f>IF(K91=0,"No","REVIEW")</x:f>
        <x:v>No</x:v>
      </x:c>
    </x:row>
    <x:row r="92" ht="22" customHeight="1">
      <x:c r="A92" s="165" t="str">
        <x:v>SBE</x:v>
      </x:c>
      <x:c r="B92" s="165" t="n">
        <x:v>3</x:v>
      </x:c>
      <x:c r="C92" s="165" t="str">
        <x:v>SBE Y3 P1</x:v>
      </x:c>
      <x:c r="D92" s="165" t="n">
        <x:v>40</x:v>
      </x:c>
      <x:c r="E92" s="88" t="str">
        <x:v>SBE3131</x:v>
      </x:c>
      <x:c r="F92" s="165" t="str">
        <x:v>SBE3131</x:v>
      </x:c>
      <x:c r="G92" s="165" t="n">
        <x:f>COUNTIFS('Input_Template'!$B$2:$B$226,A92,'Input_Template'!$E$2:$E$226,E92)</x:f>
        <x:v>2</x:v>
      </x:c>
      <x:c r="H92" s="178" t="str">
        <x:v>Exact historical module</x:v>
      </x:c>
      <x:c r="I92" s="178" t="str">
        <x:v>Requirements Template_ENG.xlsx + current admin module database; SBE Year 2.xlsx</x:v>
      </x:c>
      <x:c r="J92" s="165" t="n">
        <x:f>COUNTIFS('Input_Template'!$B$2:$B$226,A92,'Input_Template'!$E$2:$E$226,E92,'Input_Template'!$K$2:$K$226,"Online")+COUNTIFS('Input_Template'!$B$2:$B$226,A92,'Input_Template'!$E$2:$E$226,E92,'Input_Template'!$K$2:$K$226,"Asynchronous")</x:f>
        <x:v>0</x:v>
      </x:c>
      <x:c r="K92" s="165" t="n">
        <x:f>COUNTIFS('Input_Template'!$B$2:$B$226,A92,'Input_Template'!$E$2:$E$226,E92,'Input_Template'!$G$2:$G$226,"*lab*")</x:f>
        <x:v>0</x:v>
      </x:c>
      <x:c r="L92" s="165" t="n">
        <x:f>IF(G92=0,0,SUMIFS('Input_Template'!$N$2:$N$226,'Input_Template'!$B$2:$B$226,A92,'Input_Template'!$E$2:$E$226,E92)/G92)</x:f>
        <x:v>40</x:v>
      </x:c>
      <x:c r="M92" s="165" t="str">
        <x:f>IF(AND(G92&gt;=2,L92=D92),"PASS","REVIEW")</x:f>
        <x:v>PASS</x:v>
      </x:c>
      <x:c r="N92" s="165" t="str">
        <x:f>IF(K92=0,"No","REVIEW")</x:f>
        <x:v>No</x:v>
      </x:c>
    </x:row>
    <x:row r="93" ht="22" customHeight="1">
      <x:c r="A93" s="165" t="str">
        <x:v>SBE</x:v>
      </x:c>
      <x:c r="B93" s="165" t="n">
        <x:v>3</x:v>
      </x:c>
      <x:c r="C93" s="165" t="str">
        <x:v>SBE Y3 P1</x:v>
      </x:c>
      <x:c r="D93" s="165" t="n">
        <x:v>40</x:v>
      </x:c>
      <x:c r="E93" s="88" t="str">
        <x:v>SBE3132</x:v>
      </x:c>
      <x:c r="F93" s="165" t="str">
        <x:v>SBE3132</x:v>
      </x:c>
      <x:c r="G93" s="165" t="n">
        <x:f>COUNTIFS('Input_Template'!$B$2:$B$226,A93,'Input_Template'!$E$2:$E$226,E93)</x:f>
        <x:v>3</x:v>
      </x:c>
      <x:c r="H93" s="178" t="str">
        <x:v>Exact historical module</x:v>
      </x:c>
      <x:c r="I93" s="178" t="str">
        <x:v>Requirements Template_ENG.xlsx + current admin module database; SBE Year 2.xlsx</x:v>
      </x:c>
      <x:c r="J93" s="165" t="n">
        <x:f>COUNTIFS('Input_Template'!$B$2:$B$226,A93,'Input_Template'!$E$2:$E$226,E93,'Input_Template'!$K$2:$K$226,"Online")+COUNTIFS('Input_Template'!$B$2:$B$226,A93,'Input_Template'!$E$2:$E$226,E93,'Input_Template'!$K$2:$K$226,"Asynchronous")</x:f>
        <x:v>0</x:v>
      </x:c>
      <x:c r="K93" s="165" t="n">
        <x:f>COUNTIFS('Input_Template'!$B$2:$B$226,A93,'Input_Template'!$E$2:$E$226,E93,'Input_Template'!$G$2:$G$226,"*lab*")</x:f>
        <x:v>0</x:v>
      </x:c>
      <x:c r="L93" s="165" t="n">
        <x:f>IF(G93=0,0,SUMIFS('Input_Template'!$N$2:$N$226,'Input_Template'!$B$2:$B$226,A93,'Input_Template'!$E$2:$E$226,E93)/G93)</x:f>
        <x:v>40</x:v>
      </x:c>
      <x:c r="M93" s="165" t="str">
        <x:f>IF(AND(G93&gt;=2,L93=D93),"PASS","REVIEW")</x:f>
        <x:v>PASS</x:v>
      </x:c>
      <x:c r="N93" s="165" t="str">
        <x:f>IF(K93=0,"No","REVIEW")</x:f>
        <x:v>No</x:v>
      </x:c>
    </x:row>
    <x:row r="94" ht="22" customHeight="1">
      <x:c r="A94" s="165" t="str">
        <x:v>SLT</x:v>
      </x:c>
      <x:c r="B94" s="165" t="n">
        <x:v>1</x:v>
      </x:c>
      <x:c r="C94" s="165" t="str">
        <x:v>SLT Y1 P1</x:v>
      </x:c>
      <x:c r="D94" s="165" t="n">
        <x:v>40</x:v>
      </x:c>
      <x:c r="E94" s="88" t="str">
        <x:v>SLT1203</x:v>
      </x:c>
      <x:c r="F94" s="165" t="str">
        <x:v>SLT1203</x:v>
      </x:c>
      <x:c r="G94" s="165" t="n">
        <x:f>COUNTIFS('Input_Template'!$B$2:$B$226,A94,'Input_Template'!$E$2:$E$226,E94)</x:f>
        <x:v>2</x:v>
      </x:c>
      <x:c r="H94" s="178" t="str">
        <x:v>General ENG pattern adapted</x:v>
      </x:c>
      <x:c r="I94" s="178" t="str">
        <x:v>Requirements Template_ENG.xlsx + current admin module database</x:v>
      </x:c>
      <x:c r="J94" s="165" t="n">
        <x:f>COUNTIFS('Input_Template'!$B$2:$B$226,A94,'Input_Template'!$E$2:$E$226,E94,'Input_Template'!$K$2:$K$226,"Online")+COUNTIFS('Input_Template'!$B$2:$B$226,A94,'Input_Template'!$E$2:$E$226,E94,'Input_Template'!$K$2:$K$226,"Asynchronous")</x:f>
        <x:v>1</x:v>
      </x:c>
      <x:c r="K94" s="165" t="n">
        <x:f>COUNTIFS('Input_Template'!$B$2:$B$226,A94,'Input_Template'!$E$2:$E$226,E94,'Input_Template'!$G$2:$G$226,"*lab*")</x:f>
        <x:v>0</x:v>
      </x:c>
      <x:c r="L94" s="165" t="n">
        <x:f>IF(G94=0,0,SUMIFS('Input_Template'!$N$2:$N$226,'Input_Template'!$B$2:$B$226,A94,'Input_Template'!$E$2:$E$226,E94)/G94)</x:f>
        <x:v>40</x:v>
      </x:c>
      <x:c r="M94" s="165" t="str">
        <x:f>IF(AND(G94&gt;=2,L94=D94),"PASS","REVIEW")</x:f>
        <x:v>PASS</x:v>
      </x:c>
      <x:c r="N94" s="165" t="str">
        <x:f>IF(K94=0,"No","REVIEW")</x:f>
        <x:v>No</x:v>
      </x:c>
    </x:row>
    <x:row r="95" ht="22" customHeight="1">
      <x:c r="A95" s="165" t="str">
        <x:v>SLT</x:v>
      </x:c>
      <x:c r="B95" s="165" t="n">
        <x:v>1</x:v>
      </x:c>
      <x:c r="C95" s="165" t="str">
        <x:v>SLT Y1 P1</x:v>
      </x:c>
      <x:c r="D95" s="165" t="n">
        <x:v>40</x:v>
      </x:c>
      <x:c r="E95" s="88" t="str">
        <x:v>SLT1204</x:v>
      </x:c>
      <x:c r="F95" s="165" t="str">
        <x:v>SLT1204</x:v>
      </x:c>
      <x:c r="G95" s="165" t="n">
        <x:f>COUNTIFS('Input_Template'!$B$2:$B$226,A95,'Input_Template'!$E$2:$E$226,E95)</x:f>
        <x:v>2</x:v>
      </x:c>
      <x:c r="H95" s="178" t="str">
        <x:v>General ENG pattern adapted</x:v>
      </x:c>
      <x:c r="I95" s="178" t="str">
        <x:v>Requirements Template_ENG.xlsx + current admin module database</x:v>
      </x:c>
      <x:c r="J95" s="165" t="n">
        <x:f>COUNTIFS('Input_Template'!$B$2:$B$226,A95,'Input_Template'!$E$2:$E$226,E95,'Input_Template'!$K$2:$K$226,"Online")+COUNTIFS('Input_Template'!$B$2:$B$226,A95,'Input_Template'!$E$2:$E$226,E95,'Input_Template'!$K$2:$K$226,"Asynchronous")</x:f>
        <x:v>0</x:v>
      </x:c>
      <x:c r="K95" s="165" t="n">
        <x:f>COUNTIFS('Input_Template'!$B$2:$B$226,A95,'Input_Template'!$E$2:$E$226,E95,'Input_Template'!$G$2:$G$226,"*lab*")</x:f>
        <x:v>0</x:v>
      </x:c>
      <x:c r="L95" s="165" t="n">
        <x:f>IF(G95=0,0,SUMIFS('Input_Template'!$N$2:$N$226,'Input_Template'!$B$2:$B$226,A95,'Input_Template'!$E$2:$E$226,E95)/G95)</x:f>
        <x:v>40</x:v>
      </x:c>
      <x:c r="M95" s="165" t="str">
        <x:f>IF(AND(G95&gt;=2,L95=D95),"PASS","REVIEW")</x:f>
        <x:v>PASS</x:v>
      </x:c>
      <x:c r="N95" s="165" t="str">
        <x:f>IF(K95=0,"No","REVIEW")</x:f>
        <x:v>No</x:v>
      </x:c>
    </x:row>
    <x:row r="96" ht="22" customHeight="1">
      <x:c r="A96" s="165" t="str">
        <x:v>SLT</x:v>
      </x:c>
      <x:c r="B96" s="165" t="n">
        <x:v>2</x:v>
      </x:c>
      <x:c r="C96" s="165" t="str">
        <x:v>SLT Y2 P1</x:v>
      </x:c>
      <x:c r="D96" s="165" t="n">
        <x:v>40</x:v>
      </x:c>
      <x:c r="E96" s="88" t="str">
        <x:v>SLT2203</x:v>
      </x:c>
      <x:c r="F96" s="165" t="str">
        <x:v>SLT2203</x:v>
      </x:c>
      <x:c r="G96" s="165" t="n">
        <x:f>COUNTIFS('Input_Template'!$B$2:$B$226,A96,'Input_Template'!$E$2:$E$226,E96)</x:f>
        <x:v>3</x:v>
      </x:c>
      <x:c r="H96" s="178" t="str">
        <x:v>General ENG pattern adapted</x:v>
      </x:c>
      <x:c r="I96" s="178" t="str">
        <x:v>Requirements Template_ENG.xlsx + current admin module database</x:v>
      </x:c>
      <x:c r="J96" s="165" t="n">
        <x:f>COUNTIFS('Input_Template'!$B$2:$B$226,A96,'Input_Template'!$E$2:$E$226,E96,'Input_Template'!$K$2:$K$226,"Online")+COUNTIFS('Input_Template'!$B$2:$B$226,A96,'Input_Template'!$E$2:$E$226,E96,'Input_Template'!$K$2:$K$226,"Asynchronous")</x:f>
        <x:v>0</x:v>
      </x:c>
      <x:c r="K96" s="165" t="n">
        <x:f>COUNTIFS('Input_Template'!$B$2:$B$226,A96,'Input_Template'!$E$2:$E$226,E96,'Input_Template'!$G$2:$G$226,"*lab*")</x:f>
        <x:v>0</x:v>
      </x:c>
      <x:c r="L96" s="165" t="n">
        <x:f>IF(G96=0,0,SUMIFS('Input_Template'!$N$2:$N$226,'Input_Template'!$B$2:$B$226,A96,'Input_Template'!$E$2:$E$226,E96)/G96)</x:f>
        <x:v>40</x:v>
      </x:c>
      <x:c r="M96" s="165" t="str">
        <x:f>IF(AND(G96&gt;=2,L96=D96),"PASS","REVIEW")</x:f>
        <x:v>PASS</x:v>
      </x:c>
      <x:c r="N96" s="165" t="str">
        <x:f>IF(K96=0,"No","REVIEW")</x:f>
        <x:v>No</x:v>
      </x:c>
    </x:row>
    <x:row r="97" ht="22" customHeight="1">
      <x:c r="A97" s="165" t="str">
        <x:v>SLT</x:v>
      </x:c>
      <x:c r="B97" s="165" t="n">
        <x:v>2</x:v>
      </x:c>
      <x:c r="C97" s="165" t="str">
        <x:v>SLT Y2 P1</x:v>
      </x:c>
      <x:c r="D97" s="165" t="n">
        <x:v>40</x:v>
      </x:c>
      <x:c r="E97" s="88" t="str">
        <x:v>SLT2204</x:v>
      </x:c>
      <x:c r="F97" s="165" t="str">
        <x:v>SLT2204</x:v>
      </x:c>
      <x:c r="G97" s="165" t="n">
        <x:f>COUNTIFS('Input_Template'!$B$2:$B$226,A97,'Input_Template'!$E$2:$E$226,E97)</x:f>
        <x:v>2</x:v>
      </x:c>
      <x:c r="H97" s="178" t="str">
        <x:v>General ENG pattern adapted</x:v>
      </x:c>
      <x:c r="I97" s="178" t="str">
        <x:v>Requirements Template_ENG.xlsx + current admin module database</x:v>
      </x:c>
      <x:c r="J97" s="165" t="n">
        <x:f>COUNTIFS('Input_Template'!$B$2:$B$226,A97,'Input_Template'!$E$2:$E$226,E97,'Input_Template'!$K$2:$K$226,"Online")+COUNTIFS('Input_Template'!$B$2:$B$226,A97,'Input_Template'!$E$2:$E$226,E97,'Input_Template'!$K$2:$K$226,"Asynchronous")</x:f>
        <x:v>0</x:v>
      </x:c>
      <x:c r="K97" s="165" t="n">
        <x:f>COUNTIFS('Input_Template'!$B$2:$B$226,A97,'Input_Template'!$E$2:$E$226,E97,'Input_Template'!$G$2:$G$226,"*lab*")</x:f>
        <x:v>0</x:v>
      </x:c>
      <x:c r="L97" s="165" t="n">
        <x:f>IF(G97=0,0,SUMIFS('Input_Template'!$N$2:$N$226,'Input_Template'!$B$2:$B$226,A97,'Input_Template'!$E$2:$E$226,E97)/G97)</x:f>
        <x:v>40</x:v>
      </x:c>
      <x:c r="M97" s="165" t="str">
        <x:f>IF(AND(G97&gt;=2,L97=D97),"PASS","REVIEW")</x:f>
        <x:v>PASS</x:v>
      </x:c>
      <x:c r="N97" s="165" t="str">
        <x:f>IF(K97=0,"No","REVIEW")</x:f>
        <x:v>No</x:v>
      </x:c>
    </x:row>
    <x:row r="98" ht="22" customHeight="1">
      <x:c r="A98" s="165" t="str">
        <x:v>SLT</x:v>
      </x:c>
      <x:c r="B98" s="165" t="n">
        <x:v>3</x:v>
      </x:c>
      <x:c r="C98" s="165" t="str">
        <x:v>SLT Y3 P1</x:v>
      </x:c>
      <x:c r="D98" s="165" t="n">
        <x:v>40</x:v>
      </x:c>
      <x:c r="E98" s="88" t="str">
        <x:v>SLT3202</x:v>
      </x:c>
      <x:c r="F98" s="165" t="str">
        <x:v>SLT3202</x:v>
      </x:c>
      <x:c r="G98" s="165" t="n">
        <x:f>COUNTIFS('Input_Template'!$B$2:$B$226,A98,'Input_Template'!$E$2:$E$226,E98)</x:f>
        <x:v>2</x:v>
      </x:c>
      <x:c r="H98" s="178" t="str">
        <x:v>General ENG pattern adapted</x:v>
      </x:c>
      <x:c r="I98" s="178" t="str">
        <x:v>Requirements Template_ENG.xlsx + current admin module database</x:v>
      </x:c>
      <x:c r="J98" s="165" t="n">
        <x:f>COUNTIFS('Input_Template'!$B$2:$B$226,A98,'Input_Template'!$E$2:$E$226,E98,'Input_Template'!$K$2:$K$226,"Online")+COUNTIFS('Input_Template'!$B$2:$B$226,A98,'Input_Template'!$E$2:$E$226,E98,'Input_Template'!$K$2:$K$226,"Asynchronous")</x:f>
        <x:v>0</x:v>
      </x:c>
      <x:c r="K98" s="165" t="n">
        <x:f>COUNTIFS('Input_Template'!$B$2:$B$226,A98,'Input_Template'!$E$2:$E$226,E98,'Input_Template'!$G$2:$G$226,"*lab*")</x:f>
        <x:v>0</x:v>
      </x:c>
      <x:c r="L98" s="165" t="n">
        <x:f>IF(G98=0,0,SUMIFS('Input_Template'!$N$2:$N$226,'Input_Template'!$B$2:$B$226,A98,'Input_Template'!$E$2:$E$226,E98)/G98)</x:f>
        <x:v>40</x:v>
      </x:c>
      <x:c r="M98" s="165" t="str">
        <x:f>IF(AND(G98&gt;=2,L98=D98),"PASS","REVIEW")</x:f>
        <x:v>PASS</x:v>
      </x:c>
      <x:c r="N98" s="165" t="str">
        <x:f>IF(K98=0,"No","REVIEW")</x:f>
        <x:v>No</x:v>
      </x:c>
    </x:row>
    <x:row r="99" ht="22" customHeight="1">
      <x:c r="A99" s="165" t="str">
        <x:v>TCE</x:v>
      </x:c>
      <x:c r="B99" s="165" t="n">
        <x:v>1</x:v>
      </x:c>
      <x:c r="C99" s="165" t="str">
        <x:v>TCE Y1 P1</x:v>
      </x:c>
      <x:c r="D99" s="165" t="n">
        <x:v>40</x:v>
      </x:c>
      <x:c r="E99" s="88" t="str">
        <x:v>TCE1043</x:v>
      </x:c>
      <x:c r="F99" s="165" t="str">
        <x:v>TCE1043</x:v>
      </x:c>
      <x:c r="G99" s="165" t="n">
        <x:f>COUNTIFS('Input_Template'!$B$2:$B$226,A99,'Input_Template'!$E$2:$E$226,E99)</x:f>
        <x:v>2</x:v>
      </x:c>
      <x:c r="H99" s="178" t="str">
        <x:v>General ENG pattern adapted</x:v>
      </x:c>
      <x:c r="I99" s="178" t="str">
        <x:v>Requirements Template_ENG.xlsx + current admin module database</x:v>
      </x:c>
      <x:c r="J99" s="165" t="n">
        <x:f>COUNTIFS('Input_Template'!$B$2:$B$226,A99,'Input_Template'!$E$2:$E$226,E99,'Input_Template'!$K$2:$K$226,"Online")+COUNTIFS('Input_Template'!$B$2:$B$226,A99,'Input_Template'!$E$2:$E$226,E99,'Input_Template'!$K$2:$K$226,"Asynchronous")</x:f>
        <x:v>1</x:v>
      </x:c>
      <x:c r="K99" s="165" t="n">
        <x:f>COUNTIFS('Input_Template'!$B$2:$B$226,A99,'Input_Template'!$E$2:$E$226,E99,'Input_Template'!$G$2:$G$226,"*lab*")</x:f>
        <x:v>0</x:v>
      </x:c>
      <x:c r="L99" s="165" t="n">
        <x:f>IF(G99=0,0,SUMIFS('Input_Template'!$N$2:$N$226,'Input_Template'!$B$2:$B$226,A99,'Input_Template'!$E$2:$E$226,E99)/G99)</x:f>
        <x:v>40</x:v>
      </x:c>
      <x:c r="M99" s="165" t="str">
        <x:f>IF(AND(G99&gt;=2,L99=D99),"PASS","REVIEW")</x:f>
        <x:v>PASS</x:v>
      </x:c>
      <x:c r="N99" s="165" t="str">
        <x:f>IF(K99=0,"No","REVIEW")</x:f>
        <x:v>No</x:v>
      </x:c>
    </x:row>
    <x:row r="100" ht="22" customHeight="1">
      <x:c r="A100" s="165" t="str">
        <x:v>TCE</x:v>
      </x:c>
      <x:c r="B100" s="165" t="n">
        <x:v>1</x:v>
      </x:c>
      <x:c r="C100" s="165" t="str">
        <x:v>TCE Y1 P1</x:v>
      </x:c>
      <x:c r="D100" s="165" t="n">
        <x:v>40</x:v>
      </x:c>
      <x:c r="E100" s="88" t="str">
        <x:v>TCE1048</x:v>
      </x:c>
      <x:c r="F100" s="165" t="str">
        <x:v>TCE1048</x:v>
      </x:c>
      <x:c r="G100" s="165" t="n">
        <x:f>COUNTIFS('Input_Template'!$B$2:$B$226,A100,'Input_Template'!$E$2:$E$226,E100)</x:f>
        <x:v>2</x:v>
      </x:c>
      <x:c r="H100" s="178" t="str">
        <x:v>General ENG pattern adapted</x:v>
      </x:c>
      <x:c r="I100" s="178" t="str">
        <x:v>Requirements Template_ENG.xlsx + current admin module database</x:v>
      </x:c>
      <x:c r="J100" s="165" t="n">
        <x:f>COUNTIFS('Input_Template'!$B$2:$B$226,A100,'Input_Template'!$E$2:$E$226,E100,'Input_Template'!$K$2:$K$226,"Online")+COUNTIFS('Input_Template'!$B$2:$B$226,A100,'Input_Template'!$E$2:$E$226,E100,'Input_Template'!$K$2:$K$226,"Asynchronous")</x:f>
        <x:v>0</x:v>
      </x:c>
      <x:c r="K100" s="165" t="n">
        <x:f>COUNTIFS('Input_Template'!$B$2:$B$226,A100,'Input_Template'!$E$2:$E$226,E100,'Input_Template'!$G$2:$G$226,"*lab*")</x:f>
        <x:v>0</x:v>
      </x:c>
      <x:c r="L100" s="165" t="n">
        <x:f>IF(G100=0,0,SUMIFS('Input_Template'!$N$2:$N$226,'Input_Template'!$B$2:$B$226,A100,'Input_Template'!$E$2:$E$226,E100)/G100)</x:f>
        <x:v>40</x:v>
      </x:c>
      <x:c r="M100" s="165" t="str">
        <x:f>IF(AND(G100&gt;=2,L100=D100),"PASS","REVIEW")</x:f>
        <x:v>PASS</x:v>
      </x:c>
      <x:c r="N100" s="165" t="str">
        <x:f>IF(K100=0,"No","REVIEW")</x:f>
        <x:v>No</x:v>
      </x:c>
    </x:row>
    <x:row r="101" ht="22" customHeight="1">
      <x:c r="A101" s="165" t="str">
        <x:v>TCE</x:v>
      </x:c>
      <x:c r="B101" s="165" t="n">
        <x:v>1</x:v>
      </x:c>
      <x:c r="C101" s="165" t="str">
        <x:v>TCE Y1 P1</x:v>
      </x:c>
      <x:c r="D101" s="165" t="n">
        <x:v>40</x:v>
      </x:c>
      <x:c r="E101" s="88" t="str">
        <x:v>TCE1049</x:v>
      </x:c>
      <x:c r="F101" s="165" t="str">
        <x:v>TCE1049</x:v>
      </x:c>
      <x:c r="G101" s="165" t="n">
        <x:f>COUNTIFS('Input_Template'!$B$2:$B$226,A101,'Input_Template'!$E$2:$E$226,E101)</x:f>
        <x:v>3</x:v>
      </x:c>
      <x:c r="H101" s="178" t="str">
        <x:v>General ENG pattern adapted</x:v>
      </x:c>
      <x:c r="I101" s="178" t="str">
        <x:v>Requirements Template_ENG.xlsx + current admin module database</x:v>
      </x:c>
      <x:c r="J101" s="165" t="n">
        <x:f>COUNTIFS('Input_Template'!$B$2:$B$226,A101,'Input_Template'!$E$2:$E$226,E101,'Input_Template'!$K$2:$K$226,"Online")+COUNTIFS('Input_Template'!$B$2:$B$226,A101,'Input_Template'!$E$2:$E$226,E101,'Input_Template'!$K$2:$K$226,"Asynchronous")</x:f>
        <x:v>0</x:v>
      </x:c>
      <x:c r="K101" s="165" t="n">
        <x:f>COUNTIFS('Input_Template'!$B$2:$B$226,A101,'Input_Template'!$E$2:$E$226,E101,'Input_Template'!$G$2:$G$226,"*lab*")</x:f>
        <x:v>0</x:v>
      </x:c>
      <x:c r="L101" s="165" t="n">
        <x:f>IF(G101=0,0,SUMIFS('Input_Template'!$N$2:$N$226,'Input_Template'!$B$2:$B$226,A101,'Input_Template'!$E$2:$E$226,E101)/G101)</x:f>
        <x:v>40</x:v>
      </x:c>
      <x:c r="M101" s="165" t="str">
        <x:f>IF(AND(G101&gt;=2,L101=D101),"PASS","REVIEW")</x:f>
        <x:v>PASS</x:v>
      </x:c>
      <x:c r="N101" s="165" t="str">
        <x:f>IF(K101=0,"No","REVIEW")</x:f>
        <x:v>No</x:v>
      </x:c>
    </x:row>
    <x:row r="102" ht="22" customHeight="1">
      <x:c r="A102" s="165" t="str">
        <x:v>TCE</x:v>
      </x:c>
      <x:c r="B102" s="165" t="n">
        <x:v>2</x:v>
      </x:c>
      <x:c r="C102" s="165" t="str">
        <x:v>TCE Y2 P1</x:v>
      </x:c>
      <x:c r="D102" s="165" t="n">
        <x:v>40</x:v>
      </x:c>
      <x:c r="E102" s="88" t="str">
        <x:v>TCE2025</x:v>
      </x:c>
      <x:c r="F102" s="165" t="str">
        <x:v>TCE2025</x:v>
      </x:c>
      <x:c r="G102" s="165" t="n">
        <x:f>COUNTIFS('Input_Template'!$B$2:$B$226,A102,'Input_Template'!$E$2:$E$226,E102)</x:f>
        <x:v>2</x:v>
      </x:c>
      <x:c r="H102" s="178" t="str">
        <x:v>General ENG pattern adapted</x:v>
      </x:c>
      <x:c r="I102" s="178" t="str">
        <x:v>Requirements Template_ENG.xlsx + current admin module database</x:v>
      </x:c>
      <x:c r="J102" s="165" t="n">
        <x:f>COUNTIFS('Input_Template'!$B$2:$B$226,A102,'Input_Template'!$E$2:$E$226,E102,'Input_Template'!$K$2:$K$226,"Online")+COUNTIFS('Input_Template'!$B$2:$B$226,A102,'Input_Template'!$E$2:$E$226,E102,'Input_Template'!$K$2:$K$226,"Asynchronous")</x:f>
        <x:v>0</x:v>
      </x:c>
      <x:c r="K102" s="165" t="n">
        <x:f>COUNTIFS('Input_Template'!$B$2:$B$226,A102,'Input_Template'!$E$2:$E$226,E102,'Input_Template'!$G$2:$G$226,"*lab*")</x:f>
        <x:v>0</x:v>
      </x:c>
      <x:c r="L102" s="165" t="n">
        <x:f>IF(G102=0,0,SUMIFS('Input_Template'!$N$2:$N$226,'Input_Template'!$B$2:$B$226,A102,'Input_Template'!$E$2:$E$226,E102)/G102)</x:f>
        <x:v>40</x:v>
      </x:c>
      <x:c r="M102" s="165" t="str">
        <x:f>IF(AND(G102&gt;=2,L102=D102),"PASS","REVIEW")</x:f>
        <x:v>PASS</x:v>
      </x:c>
      <x:c r="N102" s="165" t="str">
        <x:f>IF(K102=0,"No","REVIEW")</x:f>
        <x:v>No</x:v>
      </x:c>
    </x:row>
    <x:row r="103" ht="22" customHeight="1">
      <x:c r="A103" s="165" t="str">
        <x:v>TCE</x:v>
      </x:c>
      <x:c r="B103" s="165" t="n">
        <x:v>2</x:v>
      </x:c>
      <x:c r="C103" s="165" t="str">
        <x:v>TCE Y2 P1</x:v>
      </x:c>
      <x:c r="D103" s="165" t="n">
        <x:v>40</x:v>
      </x:c>
      <x:c r="E103" s="88" t="str">
        <x:v>TCE2040</x:v>
      </x:c>
      <x:c r="F103" s="165" t="str">
        <x:v>TCE2040</x:v>
      </x:c>
      <x:c r="G103" s="165" t="n">
        <x:f>COUNTIFS('Input_Template'!$B$2:$B$226,A103,'Input_Template'!$E$2:$E$226,E103)</x:f>
        <x:v>2</x:v>
      </x:c>
      <x:c r="H103" s="178" t="str">
        <x:v>General ENG pattern adapted</x:v>
      </x:c>
      <x:c r="I103" s="178" t="str">
        <x:v>Requirements Template_ENG.xlsx + current admin module database</x:v>
      </x:c>
      <x:c r="J103" s="165" t="n">
        <x:f>COUNTIFS('Input_Template'!$B$2:$B$226,A103,'Input_Template'!$E$2:$E$226,E103,'Input_Template'!$K$2:$K$226,"Online")+COUNTIFS('Input_Template'!$B$2:$B$226,A103,'Input_Template'!$E$2:$E$226,E103,'Input_Template'!$K$2:$K$226,"Asynchronous")</x:f>
        <x:v>0</x:v>
      </x:c>
      <x:c r="K103" s="165" t="n">
        <x:f>COUNTIFS('Input_Template'!$B$2:$B$226,A103,'Input_Template'!$E$2:$E$226,E103,'Input_Template'!$G$2:$G$226,"*lab*")</x:f>
        <x:v>0</x:v>
      </x:c>
      <x:c r="L103" s="165" t="n">
        <x:f>IF(G103=0,0,SUMIFS('Input_Template'!$N$2:$N$226,'Input_Template'!$B$2:$B$226,A103,'Input_Template'!$E$2:$E$226,E103)/G103)</x:f>
        <x:v>40</x:v>
      </x:c>
      <x:c r="M103" s="165" t="str">
        <x:f>IF(AND(G103&gt;=2,L103=D103),"PASS","REVIEW")</x:f>
        <x:v>PASS</x:v>
      </x:c>
      <x:c r="N103" s="165" t="str">
        <x:f>IF(K103=0,"No","REVIEW")</x:f>
        <x:v>No</x:v>
      </x:c>
    </x:row>
  </x:sheetData>
  <x:mergeCells>
    <x:mergeCell ref="A1:N1"/>
  </x:mergeCells>
  <x:conditionalFormatting sqref="M4:M103">
    <x:cfRule type="containsText" dxfId="2" priority="1" operator="containsText" text="PASS"/>
  </x:conditionalFormatting>
  <x:conditionalFormatting sqref="M4:N103">
    <x:cfRule type="containsText" dxfId="3" priority="2" operator="containsText" text="REVIEW"/>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44" hidden="0" customWidth="1"/>
    <x:col min="2" max="2" width="18" hidden="0" customWidth="1"/>
    <x:col min="3" max="3" width="16" hidden="0" customWidth="1"/>
    <x:col min="4" max="4" width="15" hidden="0" customWidth="1"/>
  </x:cols>
  <x:sheetData>
    <x:row r="1" ht="32" customHeight="1">
      <x:c r="A1" s="181" t="str">
        <x:v>Workbook Quality Checks</x:v>
      </x:c>
      <x:c r="B1" s="181"/>
      <x:c r="C1" s="181"/>
      <x:c r="D1" s="181"/>
    </x:row>
    <x:row r="3" ht="34" customHeight="1">
      <x:c r="A3" s="169" t="str">
        <x:v>Check</x:v>
      </x:c>
      <x:c r="B3" s="169" t="str">
        <x:v>Actual</x:v>
      </x:c>
      <x:c r="C3" s="169" t="str">
        <x:v>Target</x:v>
      </x:c>
      <x:c r="D3" s="169" t="str">
        <x:v>Status</x:v>
      </x:c>
    </x:row>
    <x:row r="4" ht="22" customHeight="1">
      <x:c r="A4" s="182" t="str">
        <x:v>Overall workbook status</x:v>
      </x:c>
      <x:c r="B4" s="165" t="str">
        <x:f>IF(COUNTIF(D5:D16,"REVIEW")=0,"PASS","REVIEW")</x:f>
        <x:v>PASS</x:v>
      </x:c>
      <x:c r="C4" s="165" t="str">
        <x:v>PASS</x:v>
      </x:c>
      <x:c r="D4" s="165" t="str">
        <x:f>B4</x:f>
        <x:v>PASS</x:v>
      </x:c>
    </x:row>
    <x:row r="5" ht="22" customHeight="1">
      <x:c r="A5" s="182" t="str">
        <x:v>Programme count</x:v>
      </x:c>
      <x:c r="B5" s="165" t="n">
        <x:f>COUNTA('Programme_Summary'!A4:A23)</x:f>
        <x:v>20</x:v>
      </x:c>
      <x:c r="C5" s="165" t="n">
        <x:v>20</x:v>
      </x:c>
      <x:c r="D5" s="165" t="str">
        <x:f>IF(B5=C5,"PASS","REVIEW")</x:f>
        <x:v>PASS</x:v>
      </x:c>
    </x:row>
    <x:row r="6" ht="22" customHeight="1">
      <x:c r="A6" s="182" t="str">
        <x:v>Module mapping rows</x:v>
      </x:c>
      <x:c r="B6" s="165" t="n">
        <x:f>COUNTA('Source_Audit'!E4:E103)</x:f>
        <x:v>100</x:v>
      </x:c>
      <x:c r="C6" s="165" t="n">
        <x:v>100</x:v>
      </x:c>
      <x:c r="D6" s="165" t="str">
        <x:f>IF(B6=C6,"PASS","REVIEW")</x:f>
        <x:v>PASS</x:v>
      </x:c>
    </x:row>
    <x:row r="7" ht="22" customHeight="1">
      <x:c r="A7" s="182" t="str">
        <x:v>Minimum distinct modules per programme</x:v>
      </x:c>
      <x:c r="B7" s="165" t="n">
        <x:f>MIN('Programme_Summary'!B4:B23)</x:f>
        <x:v>5</x:v>
      </x:c>
      <x:c r="C7" s="165" t="n">
        <x:v>5</x:v>
      </x:c>
      <x:c r="D7" s="165" t="str">
        <x:f>IF(B7&gt;=C7,"PASS","REVIEW")</x:f>
        <x:v>PASS</x:v>
      </x:c>
    </x:row>
    <x:row r="8" ht="22" customHeight="1">
      <x:c r="A8" s="182" t="str">
        <x:v>Input requirement rows</x:v>
      </x:c>
      <x:c r="B8" s="165" t="n">
        <x:f>COUNTA('Input_Template'!A2:A226)</x:f>
        <x:v>225</x:v>
      </x:c>
      <x:c r="C8" s="165" t="n">
        <x:v>225</x:v>
      </x:c>
      <x:c r="D8" s="165" t="str">
        <x:f>IF(B8=C8,"PASS","REVIEW")</x:f>
        <x:v>PASS</x:v>
      </x:c>
    </x:row>
    <x:row r="9" ht="22" customHeight="1">
      <x:c r="A9" s="182" t="str">
        <x:v>Invalid Online/Lab class types</x:v>
      </x:c>
      <x:c r="B9" s="165" t="n">
        <x:f>COUNTIF('Input_Template'!G2:G226,"Online")+COUNTIF('Input_Template'!G2:G226,"*lab*")</x:f>
        <x:v>0</x:v>
      </x:c>
      <x:c r="C9" s="165" t="n">
        <x:v>0</x:v>
      </x:c>
      <x:c r="D9" s="165" t="str">
        <x:f>IF(B9=C9,"PASS","REVIEW")</x:f>
        <x:v>PASS</x:v>
      </x:c>
    </x:row>
    <x:row r="10" ht="22" customHeight="1">
      <x:c r="A10" s="182" t="str">
        <x:v>Uploaded lab venue rows</x:v>
      </x:c>
      <x:c r="B10" s="165" t="n">
        <x:f>COUNTIF('Input_Template'!L2:L226,"*lab*")</x:f>
        <x:v>0</x:v>
      </x:c>
      <x:c r="C10" s="165" t="n">
        <x:v>0</x:v>
      </x:c>
      <x:c r="D10" s="165" t="str">
        <x:f>IF(B10=C10,"PASS","REVIEW")</x:f>
        <x:v>PASS</x:v>
      </x:c>
    </x:row>
    <x:row r="11" ht="22" customHeight="1">
      <x:c r="A11" s="182" t="str">
        <x:v>P51-P55 student-group rows</x:v>
      </x:c>
      <x:c r="B11" s="165" t="n">
        <x:f>COUNTIF('Input_Template'!D2:D226,"* P51")+COUNTIF('Input_Template'!D2:D226,"* P52")+COUNTIF('Input_Template'!D2:D226,"* P53")+COUNTIF('Input_Template'!D2:D226,"* P54")+COUNTIF('Input_Template'!D2:D226,"* P55")</x:f>
        <x:v>0</x:v>
      </x:c>
      <x:c r="C11" s="165" t="n">
        <x:v>0</x:v>
      </x:c>
      <x:c r="D11" s="165" t="str">
        <x:f>IF(B11=C11,"PASS","REVIEW")</x:f>
        <x:v>PASS</x:v>
      </x:c>
    </x:row>
    <x:row r="12" ht="22" customHeight="1">
      <x:c r="A12" s="182" t="str">
        <x:v>Blank required-field cells</x:v>
      </x:c>
      <x:c r="B12" s="165" t="n">
        <x:f>COUNTBLANK('Input_Template'!A2:A226)+COUNTBLANK('Input_Template'!B2:B226)+COUNTBLANK('Input_Template'!C2:C226)+COUNTBLANK('Input_Template'!D2:D226)+COUNTBLANK('Input_Template'!E2:E226)+COUNTBLANK('Input_Template'!G2:G226)+COUNTBLANK('Input_Template'!I2:I226)+COUNTBLANK('Input_Template'!J2:J226)+COUNTBLANK('Input_Template'!K2:K226)+COUNTBLANK('Input_Template'!L2:L226)+COUNTBLANK('Input_Template'!M2:M226)+COUNTBLANK('Input_Template'!N2:N226)+COUNTBLANK('Input_Template'!P2:P226)+COUNTBLANK('Remarks_(optional)'!A2:A226)+COUNTBLANK('Remarks_(optional)'!B2:B226)+COUNTBLANK('Remarks_(optional)'!C2:C226)+COUNTBLANK('Remarks_(optional)'!D2:D226)+COUNTBLANK('Remarks_(optional)'!E2:E226)+COUNTBLANK('Remarks_(optional)'!F2:F226)</x:f>
        <x:v>0</x:v>
      </x:c>
      <x:c r="C12" s="165" t="n">
        <x:v>0</x:v>
      </x:c>
      <x:c r="D12" s="165" t="str">
        <x:f>IF(B12=C12,"PASS","REVIEW")</x:f>
        <x:v>PASS</x:v>
      </x:c>
    </x:row>
    <x:row r="13" ht="22" customHeight="1">
      <x:c r="A13" s="182" t="str">
        <x:v>Uploaded fixed scheduling rows</x:v>
      </x:c>
      <x:c r="B13" s="165" t="n">
        <x:f>COUNTIF('Remarks_(optional)'!F2:F226,"Fixed")</x:f>
        <x:v>0</x:v>
      </x:c>
      <x:c r="C13" s="165" t="n">
        <x:v>0</x:v>
      </x:c>
      <x:c r="D13" s="165" t="str">
        <x:f>IF(B13=C13,"PASS","REVIEW")</x:f>
        <x:v>PASS</x:v>
      </x:c>
    </x:row>
    <x:row r="14" ht="22" customHeight="1">
      <x:c r="A14" s="182" t="str">
        <x:v>Admin-alignment review rows</x:v>
      </x:c>
      <x:c r="B14" s="165" t="n">
        <x:f>COUNTIF('Source_Audit'!M4:M103,"REVIEW")</x:f>
        <x:v>0</x:v>
      </x:c>
      <x:c r="C14" s="165" t="n">
        <x:v>0</x:v>
      </x:c>
      <x:c r="D14" s="165" t="str">
        <x:f>IF(B14=C14,"PASS","REVIEW")</x:f>
        <x:v>PASS</x:v>
      </x:c>
    </x:row>
    <x:row r="15" ht="22" customHeight="1">
      <x:c r="A15" s="182" t="str">
        <x:v>Source-audit lab review rows</x:v>
      </x:c>
      <x:c r="B15" s="165" t="n">
        <x:f>COUNTIF('Source_Audit'!N4:N103,"REVIEW")</x:f>
        <x:v>0</x:v>
      </x:c>
      <x:c r="C15" s="165" t="n">
        <x:v>0</x:v>
      </x:c>
      <x:c r="D15" s="165" t="str">
        <x:f>IF(B15=C15,"PASS","REVIEW")</x:f>
        <x:v>PASS</x:v>
      </x:c>
    </x:row>
    <x:row r="16" ht="22" customHeight="1">
      <x:c r="A16" s="182" t="str">
        <x:v>Online/asynchronous delivery rows</x:v>
      </x:c>
      <x:c r="B16" s="165" t="n">
        <x:f>COUNTIF('Input_Template'!K2:K226,"Online")+COUNTIF('Input_Template'!K2:K226,"Asynchronous")</x:f>
        <x:v>19</x:v>
      </x:c>
      <x:c r="C16" s="165" t="str">
        <x:v>≤20</x:v>
      </x:c>
      <x:c r="D16" s="165" t="str">
        <x:f>IF(B16&lt;=20,"PASS","REVIEW")</x:f>
        <x:v>PASS</x:v>
      </x:c>
    </x:row>
    <x:row r="17" ht="22" customHeight="1">
      <x:c r="A17" s="182" t="str">
        <x:v>Exact historical module matches</x:v>
      </x:c>
      <x:c r="B17" s="165" t="n">
        <x:f>COUNTIF('Source_Audit'!H4:H103,"Exact historical module")</x:f>
        <x:v>12</x:v>
      </x:c>
      <x:c r="C17" s="165" t="str">
        <x:v>Information</x:v>
      </x:c>
      <x:c r="D17" s="184" t="str">
        <x:f>"INFO"</x:f>
        <x:v>INFO</x:v>
      </x:c>
    </x:row>
  </x:sheetData>
  <x:mergeCells>
    <x:mergeCell ref="A1:D1"/>
  </x:mergeCells>
  <x:conditionalFormatting sqref="D4:D16">
    <x:cfRule type="containsText" dxfId="4" priority="1" operator="containsText" text="PASS"/>
    <x:cfRule type="containsText" dxfId="5" priority="2" operator="containsText" text="REVIEW"/>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2" hidden="0" customWidth="1"/>
    <x:col min="2" max="2" width="88" hidden="0" customWidth="1"/>
    <x:col min="3" max="3" width="10" hidden="0" customWidth="1"/>
    <x:col min="4" max="4" width="10" hidden="0" customWidth="1"/>
    <x:col min="5" max="5" width="10" hidden="0" customWidth="1"/>
    <x:col min="6" max="6" width="10" hidden="0" customWidth="1"/>
  </x:cols>
  <x:sheetData>
    <x:row r="1" ht="32" customHeight="1">
      <x:c r="A1" s="187" t="str">
        <x:v>Realistic 20-Programme Timetable Input Template</x:v>
      </x:c>
      <x:c r="B1" s="187"/>
      <x:c r="C1" s="187"/>
      <x:c r="D1" s="187"/>
      <x:c r="E1" s="187"/>
      <x:c r="F1" s="187"/>
    </x:row>
    <x:row r="3" ht="28" customHeight="1">
      <x:c r="A3" s="191" t="str">
        <x:v>Built from the historical Requirements_ENG conventions and reconciled to the current admin databases. The upload rows keep each required key explicit so the application can validate them, while the colours and activity blocks mirror the older engineering workbooks.</x:v>
      </x:c>
      <x:c r="B3" s="191"/>
      <x:c r="C3" s="191"/>
      <x:c r="D3" s="191"/>
      <x:c r="E3" s="191"/>
      <x:c r="F3" s="191"/>
    </x:row>
    <x:row r="4" ht="28" customHeight="1">
      <x:c r="A4" s="191"/>
      <x:c r="B4" s="191"/>
      <x:c r="C4" s="191"/>
      <x:c r="D4" s="191"/>
      <x:c r="E4" s="191"/>
      <x:c r="F4" s="191"/>
    </x:row>
    <x:row r="6" ht="28" customHeight="1">
      <x:c r="A6" s="194" t="str">
        <x:v>Workbook self-check</x:v>
      </x:c>
      <x:c r="B6" s="195" t="str">
        <x:f>'Quality_Check'!B4</x:f>
        <x:v>PASS</x:v>
      </x:c>
    </x:row>
    <x:row r="7" ht="28" customHeight="1">
      <x:c r="A7" s="194" t="str">
        <x:v>Programmes</x:v>
      </x:c>
      <x:c r="B7" s="195" t="n">
        <x:f>'Quality_Check'!B5</x:f>
        <x:v>20</x:v>
      </x:c>
    </x:row>
    <x:row r="8" ht="28" customHeight="1">
      <x:c r="A8" s="194" t="str">
        <x:v>Distinct modules per programme</x:v>
      </x:c>
      <x:c r="B8" s="195" t="n">
        <x:f>'Quality_Check'!B7</x:f>
        <x:v>5</x:v>
      </x:c>
    </x:row>
    <x:row r="9" ht="28" customHeight="1">
      <x:c r="A9" s="194" t="str">
        <x:v>Input requirement rows</x:v>
      </x:c>
      <x:c r="B9" s="195" t="n">
        <x:f>'Quality_Check'!B8</x:f>
        <x:v>225</x:v>
      </x:c>
    </x:row>
    <x:row r="10" ht="46" customHeight="1">
      <x:c r="A10" s="194" t="str">
        <x:v>Admin student groups</x:v>
      </x:c>
      <x:c r="B10" s="196" t="str">
        <x:v>Only pre-existing full P1 codes are used; P51-P55 are explicitly excluded.</x:v>
      </x:c>
    </x:row>
    <x:row r="11" ht="46" customHeight="1">
      <x:c r="A11" s="194" t="str">
        <x:v>Class types</x:v>
      </x:c>
      <x:c r="B11" s="196" t="str">
        <x:v>Lecture, Lectorial, Tutorial, Workshop, Seminar, and Quiz only.</x:v>
      </x:c>
    </x:row>
    <x:row r="12" ht="46" customHeight="1">
      <x:c r="A12" s="194" t="str">
        <x:v>Online handling</x:v>
      </x:c>
      <x:c r="B12" s="196" t="str">
        <x:v>Online/Asynchronous appear only in Delivery Mode; they are never Class Type values.</x:v>
      </x:c>
    </x:row>
    <x:row r="13" ht="46" customHeight="1">
      <x:c r="A13" s="194" t="str">
        <x:v>Laboratories</x:v>
      </x:c>
      <x:c r="B13" s="196" t="str">
        <x:v>No Lab/Laboratory activity or lab venue is uploaded. Fixed lab requirements remain application-owned.</x:v>
      </x:c>
    </x:row>
    <x:row r="15">
      <x:c r="A15" s="198" t="str">
        <x:v>How the requirements were made realistic</x:v>
      </x:c>
      <x:c r="B15" s="198"/>
      <x:c r="C15" s="198"/>
      <x:c r="D15" s="198"/>
      <x:c r="E15" s="198"/>
      <x:c r="F15" s="198"/>
    </x:row>
    <x:row r="16" ht="24" customHeight="1">
      <x:c r="A16" s="202" t="str">
        <x:v>Each programme has five active term-2520 modules and legitimate admin group sizes. Each module has separate teaching-activity rows, normally a lecture/lectorial or workshop plus a tutorial/seminar; every programme also has a quiz requirement. Numeric teaching weeks follow the common 1-6 and 8-13 pattern unless a usable historical pattern exists. Historical 2 x 2-hour activities are represented as two independently schedulable rows because the application schedules one workbook row at a time. All uploaded rows remain flexible so they can be placed around the fixed labs without introducing hard clashes.</x:v>
      </x:c>
      <x:c r="B16" s="202"/>
      <x:c r="C16" s="202"/>
      <x:c r="D16" s="202"/>
      <x:c r="E16" s="202"/>
      <x:c r="F16" s="202"/>
    </x:row>
    <x:row r="17" ht="24" customHeight="1">
      <x:c r="A17" s="202"/>
      <x:c r="B17" s="202"/>
      <x:c r="C17" s="202"/>
      <x:c r="D17" s="202"/>
      <x:c r="E17" s="202"/>
      <x:c r="F17" s="202"/>
    </x:row>
    <x:row r="18" ht="24" customHeight="1">
      <x:c r="A18" s="202"/>
      <x:c r="B18" s="202"/>
      <x:c r="C18" s="202"/>
      <x:c r="D18" s="202"/>
      <x:c r="E18" s="202"/>
      <x:c r="F18" s="202"/>
    </x:row>
    <x:row r="19" ht="24" customHeight="1">
      <x:c r="A19" s="202"/>
      <x:c r="B19" s="202"/>
      <x:c r="C19" s="202"/>
      <x:c r="D19" s="202"/>
      <x:c r="E19" s="202"/>
      <x:c r="F19" s="202"/>
    </x:row>
    <x:row r="20" ht="24" customHeight="1">
      <x:c r="A20" s="202"/>
      <x:c r="B20" s="202"/>
      <x:c r="C20" s="202"/>
      <x:c r="D20" s="202"/>
      <x:c r="E20" s="202"/>
      <x:c r="F20" s="202"/>
    </x:row>
    <x:row r="21" ht="24" customHeight="1">
      <x:c r="A21" s="202"/>
      <x:c r="B21" s="202"/>
      <x:c r="C21" s="202"/>
      <x:c r="D21" s="202"/>
      <x:c r="E21" s="202"/>
      <x:c r="F21" s="202"/>
    </x:row>
    <x:row r="23" ht="42" customHeight="1">
      <x:c r="A23" s="205" t="str">
        <x:v>Upload Input_Template and Remarks_(optional) together through the application's Input Template flow. Programme_Summary, Source_Audit, Quality_Check, and README are supporting sheets and are ignored by the importer.</x:v>
      </x:c>
      <x:c r="B23" s="205"/>
      <x:c r="C23" s="205"/>
      <x:c r="D23" s="205"/>
      <x:c r="E23" s="205"/>
      <x:c r="F23" s="205"/>
    </x:row>
  </x:sheetData>
  <x:mergeCells>
    <x:mergeCell ref="A1:F1"/>
    <x:mergeCell ref="A3:F4"/>
    <x:mergeCell ref="A15:F15"/>
    <x:mergeCell ref="A16:F21"/>
    <x:mergeCell ref="A23:F23"/>
  </x:mergeCells>
  <x:pageMargins left="0.7" right="0.7" top="0.75" bottom="0.75" header="0.3" footer="0.3"/>
</x:worksheet>
</file>